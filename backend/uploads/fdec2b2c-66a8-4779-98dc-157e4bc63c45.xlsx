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 tabRatio="423"/>
  </bookViews>
  <sheets>
    <sheet name="百融-资源情况" sheetId="5" r:id="rId1"/>
    <sheet name="外包-资源情况 " sheetId="6" r:id="rId2"/>
    <sheet name="项目里程碑计划" sheetId="3" r:id="rId3"/>
    <sheet name="项目维度" sheetId="4" r:id="rId4"/>
    <sheet name="人员分布计划" sheetId="7" r:id="rId5"/>
    <sheet name="人员周排布计划" sheetId="8" r:id="rId6"/>
  </sheets>
  <definedNames>
    <definedName name="_xlnm._FilterDatabase" localSheetId="0" hidden="1">'百融-资源情况'!$A$1:$J$2</definedName>
    <definedName name="_xlnm._FilterDatabase" localSheetId="1" hidden="1">'外包-资源情况 '!$A$1:$I$1</definedName>
    <definedName name="_xlnm._FilterDatabase" localSheetId="3" hidden="1">项目维度!#REF!</definedName>
    <definedName name="wbs_custo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yue.cui</author>
  </authors>
  <commentList>
    <comment ref="E3" authorId="0">
      <text>
        <r>
          <rPr>
            <b/>
            <sz val="9"/>
            <rFont val="宋体"/>
            <charset val="134"/>
          </rPr>
          <t>yue.cui:</t>
        </r>
        <r>
          <rPr>
            <sz val="9"/>
            <rFont val="宋体"/>
            <charset val="134"/>
          </rPr>
          <t xml:space="preserve">
外包人员换算成自有人员的总人月</t>
        </r>
      </text>
    </comment>
  </commentList>
</comments>
</file>

<file path=xl/sharedStrings.xml><?xml version="1.0" encoding="utf-8"?>
<sst xmlns="http://schemas.openxmlformats.org/spreadsheetml/2006/main" count="620" uniqueCount="215">
  <si>
    <t>项目编号</t>
  </si>
  <si>
    <t>姓名</t>
  </si>
  <si>
    <t>条线</t>
  </si>
  <si>
    <t>工作年限</t>
  </si>
  <si>
    <t>岗位</t>
  </si>
  <si>
    <t>级别
1.5年以上工作经验且是3年及以上有风控经验-高级
2.4-5年且具备2年以上金融经验（不含保险）-中级
3.其他初级</t>
  </si>
  <si>
    <t>项目经理</t>
  </si>
  <si>
    <t>实际开始时间</t>
  </si>
  <si>
    <t>预计释放时间</t>
  </si>
  <si>
    <t>待发生人月</t>
  </si>
  <si>
    <t>备注</t>
  </si>
  <si>
    <t>白国强</t>
  </si>
  <si>
    <t>软件业务/服务咨询部/智能风控服务组</t>
  </si>
  <si>
    <t>高级</t>
  </si>
  <si>
    <t>2026.01.12</t>
  </si>
  <si>
    <t>2026.12.31</t>
  </si>
  <si>
    <t>姚铖</t>
  </si>
  <si>
    <t>需求分析</t>
  </si>
  <si>
    <t>2026.9.11</t>
  </si>
  <si>
    <t>需求2</t>
  </si>
  <si>
    <t>2026.06.30</t>
  </si>
  <si>
    <t>王旭忠</t>
  </si>
  <si>
    <t>前端开发</t>
  </si>
  <si>
    <t>2026.03.1</t>
  </si>
  <si>
    <t>2026.11.30</t>
  </si>
  <si>
    <t>前端2</t>
  </si>
  <si>
    <t>2026.9.15</t>
  </si>
  <si>
    <t>马天航</t>
  </si>
  <si>
    <t>后端开发</t>
  </si>
  <si>
    <t>石彬彬</t>
  </si>
  <si>
    <t>后端3</t>
  </si>
  <si>
    <t>李浩</t>
  </si>
  <si>
    <t>软件测试</t>
  </si>
  <si>
    <t>2026.05.15</t>
  </si>
  <si>
    <t>2026.09.15</t>
  </si>
  <si>
    <t>测试2</t>
  </si>
  <si>
    <t>人月</t>
  </si>
  <si>
    <t>工作分布</t>
  </si>
  <si>
    <t>付天生</t>
  </si>
  <si>
    <t>ETL</t>
  </si>
  <si>
    <t>初级</t>
  </si>
  <si>
    <t>2025.03.24</t>
  </si>
  <si>
    <t>2025.11.30</t>
  </si>
  <si>
    <t>项目开发|测试</t>
  </si>
  <si>
    <t>罗琰峰</t>
  </si>
  <si>
    <t>中级</t>
  </si>
  <si>
    <t>2025.12.30</t>
  </si>
  <si>
    <t>缺口</t>
  </si>
  <si>
    <t>穆亮亮</t>
  </si>
  <si>
    <t>2025.04.28</t>
  </si>
  <si>
    <t>2025.09.15</t>
  </si>
  <si>
    <t>1.兼顾恒丰绿金1人月。
2.大昌行E签宝升级需求0.3人月。
3.广汽Tbox数据及小微评分需求0.75人月。
4.华夏绿金二期2.5人月。</t>
  </si>
  <si>
    <t>客户名称</t>
  </si>
  <si>
    <t>项目名称</t>
  </si>
  <si>
    <t>项目所属条线</t>
  </si>
  <si>
    <t>项目阶段</t>
  </si>
  <si>
    <t>计划开始日期</t>
  </si>
  <si>
    <t>计划结束日期</t>
  </si>
  <si>
    <t>实际开始日期</t>
  </si>
  <si>
    <t>实际结束日期</t>
  </si>
  <si>
    <t>状态</t>
  </si>
  <si>
    <t>负责人</t>
  </si>
  <si>
    <t>产出文档</t>
  </si>
  <si>
    <t>项目背景</t>
  </si>
  <si>
    <t>风险问题</t>
  </si>
  <si>
    <t>华夏银行股份有限公司</t>
  </si>
  <si>
    <t>绿色金融信息化二阶段项目</t>
  </si>
  <si>
    <t>智能风控服务</t>
  </si>
  <si>
    <t>进行中</t>
  </si>
  <si>
    <t>《需求规格说明书》、系统页面原型、会议纪要等</t>
  </si>
  <si>
    <t>系统设计</t>
  </si>
  <si>
    <t>《系统概要设计说明书》、《系统详细设计说明书》等</t>
  </si>
  <si>
    <t>系统开发</t>
  </si>
  <si>
    <t>未开始</t>
  </si>
  <si>
    <t>系统测试</t>
  </si>
  <si>
    <t>《测试报告》、缺陷列表及修复情况说明、《系统测试用例》等</t>
  </si>
  <si>
    <t>上线部署</t>
  </si>
  <si>
    <t>《上线步骤文档》上线成功确认邮件</t>
  </si>
  <si>
    <t>试运行</t>
  </si>
  <si>
    <t>《试运行报告》、优化建议及改进后的系统等</t>
  </si>
  <si>
    <t>项目验收</t>
  </si>
  <si>
    <t>《操作文档》、《接口文档》《模型文档》</t>
  </si>
  <si>
    <t>客户</t>
  </si>
  <si>
    <t>项目</t>
  </si>
  <si>
    <t>合同额</t>
  </si>
  <si>
    <t>预算（人月）</t>
  </si>
  <si>
    <t>人力成本</t>
  </si>
  <si>
    <t>采购成本</t>
  </si>
  <si>
    <t>风险成本</t>
  </si>
  <si>
    <t>预计盈亏金额</t>
  </si>
  <si>
    <t>毛利</t>
  </si>
  <si>
    <t>客户大类</t>
  </si>
  <si>
    <t>客户地域</t>
  </si>
  <si>
    <t>合同编号</t>
  </si>
  <si>
    <t>签约状态</t>
  </si>
  <si>
    <t>中标日期</t>
  </si>
  <si>
    <t>产品平台</t>
  </si>
  <si>
    <t>售前经理</t>
  </si>
  <si>
    <t>商务</t>
  </si>
  <si>
    <t>开始时间</t>
  </si>
  <si>
    <t>预计结束时间</t>
  </si>
  <si>
    <t>变更后计划结束时间</t>
  </si>
  <si>
    <t>项目状态</t>
  </si>
  <si>
    <t>自有</t>
  </si>
  <si>
    <t>外包</t>
  </si>
  <si>
    <t>合计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</si>
  <si>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</si>
  <si>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</si>
  <si>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</si>
  <si>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</si>
  <si>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</si>
  <si>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</si>
  <si>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</si>
  <si>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</si>
  <si>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</si>
  <si>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</si>
  <si>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</si>
  <si>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</si>
  <si>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银行</t>
  </si>
  <si>
    <t>华北</t>
  </si>
  <si>
    <t>签订中</t>
  </si>
  <si>
    <t>绿企融</t>
  </si>
  <si>
    <t>崔蕊</t>
  </si>
  <si>
    <t>合同要求125人月，行内考勤不低于80%</t>
  </si>
  <si>
    <t>项目待发生人员计划（自2025-04-25起）</t>
  </si>
  <si>
    <t>序号</t>
  </si>
  <si>
    <t>百融（人月）</t>
  </si>
  <si>
    <t>外包（人月）</t>
  </si>
  <si>
    <t>合计（人月）</t>
  </si>
  <si>
    <t>百融人员投入</t>
  </si>
  <si>
    <t>外包人员投入</t>
  </si>
  <si>
    <t>并行投入其他项目（人月）</t>
  </si>
  <si>
    <t>2025-04</t>
  </si>
  <si>
    <t>白国强0.25、潘高祖0.25、马天航0.25、石彬彬0.25</t>
  </si>
  <si>
    <t>付天生0.25、罗琰峰0.25</t>
  </si>
  <si>
    <t>2025-05</t>
  </si>
  <si>
    <t>白国强1、潘高祖1、刘敏0.25、马天航0.75、石彬彬 1 、马晋豪 1</t>
  </si>
  <si>
    <t>付天生、穆亮亮0.5</t>
  </si>
  <si>
    <t>马天航 广汽维保 0.25、
穆亮亮 大昌行e签宝升级共 0.3、
广汽tbox数据及小微评分 共 0.2</t>
  </si>
  <si>
    <t>2025-06</t>
  </si>
  <si>
    <t>白国强1、潘高祖0.5、刘敏1、马天航0.75、石彬彬0.5  、马晋豪 1</t>
  </si>
  <si>
    <t>潘高祖、石彬彬、穆亮亮 恒丰人行新标准升级各0.5，
马天航 大昌行维保和叮咚租机 共 0.25</t>
  </si>
  <si>
    <t>2025-07</t>
  </si>
  <si>
    <t>白国强1、潘高祖0.5、刘敏1、马天航0.75、石彬彬0.5 、马晋豪 1</t>
  </si>
  <si>
    <t>潘高祖、石彬彬  恒丰人行新标准升级各0.5，
穆亮亮 恒丰和广汽需求共 0.5，
马天航广汽维保 0.25</t>
  </si>
  <si>
    <t>2025-08</t>
  </si>
  <si>
    <t>潘高祖、石彬彬  恒丰人行新标准升级各0.5，
穆亮亮 恒丰和广汽需求共 0.5，
马天航广汽需求 0.5</t>
  </si>
  <si>
    <t>2025-09</t>
  </si>
  <si>
    <t>白国强1、潘高祖0.5、刘敏1、马天航0.75、石彬彬0.5</t>
  </si>
  <si>
    <t>潘高祖、石彬彬  恒丰维保各0.5，
马天航 广汽需求0.25，
穆亮亮 广汽需求0.5</t>
  </si>
  <si>
    <t>2025-10</t>
  </si>
  <si>
    <t>白国强0.75、刘敏0.5、马天航0.75、石彬彬0.5</t>
  </si>
  <si>
    <t xml:space="preserve">付天生 </t>
  </si>
  <si>
    <t>白国强0.25 刘敏0.5 绿金三期需求引导、立项等材料申报，绿金三期需求沟通、需求规则说明书编写
马天航0.25 石彬彬0.5 广汽三期</t>
  </si>
  <si>
    <t>2025-11</t>
  </si>
  <si>
    <t>白国强0.75、刘敏0.25、马天航0.75、石彬彬、余意0.3</t>
  </si>
  <si>
    <t>白国强0.25 刘敏0.75 余意0.3 绿金三期需求引导、立项等材料申报，绿金三期需求沟通、需求规则说明书编写、原型设计及确认
马天航0.25  广汽三期</t>
  </si>
  <si>
    <t>2025-12</t>
  </si>
  <si>
    <t>白国强0.75、马天航0.75、石彬彬、余意0.5</t>
  </si>
  <si>
    <t>白国强0.25 ，马天航0.25  广汽三期</t>
  </si>
  <si>
    <t>维保</t>
  </si>
  <si>
    <t xml:space="preserve">白国强 0.5 人月， 马天航 1.5 人月 </t>
  </si>
  <si>
    <t>付天生 2 人月</t>
  </si>
  <si>
    <t>合计：</t>
  </si>
  <si>
    <t xml:space="preserve">             周次
人员</t>
  </si>
  <si>
    <t>4.25~4.30</t>
  </si>
  <si>
    <t>5.6~5.9</t>
  </si>
  <si>
    <t>5.12~5.16</t>
  </si>
  <si>
    <t>5.19~5.23</t>
  </si>
  <si>
    <t>5.26~5.30</t>
  </si>
  <si>
    <t>6.3~6.6</t>
  </si>
  <si>
    <t>6.9~6.13</t>
  </si>
  <si>
    <t>6.16~6.20</t>
  </si>
  <si>
    <t>6.23~6.27</t>
  </si>
  <si>
    <t>6.30~7.4</t>
  </si>
  <si>
    <t>7.7~7.11</t>
  </si>
  <si>
    <t>7.14~7.18</t>
  </si>
  <si>
    <t>7.21~7.25</t>
  </si>
  <si>
    <t>7.28~8.1</t>
  </si>
  <si>
    <t>8.4~8.8</t>
  </si>
  <si>
    <t>8.11~8.15</t>
  </si>
  <si>
    <t>8.18~8.22</t>
  </si>
  <si>
    <t>8.25~8.29</t>
  </si>
  <si>
    <t>9.1~9.5</t>
  </si>
  <si>
    <t>9.8~9.12</t>
  </si>
  <si>
    <t>9.15~9.19</t>
  </si>
  <si>
    <t>9.22~9.26</t>
  </si>
  <si>
    <t>9.28~9.30</t>
  </si>
  <si>
    <t>10.9~10.11</t>
  </si>
  <si>
    <t>10.13~10.17</t>
  </si>
  <si>
    <t>10.20~10.24</t>
  </si>
  <si>
    <t>10.27~10.31</t>
  </si>
  <si>
    <t>11.3~11.7</t>
  </si>
  <si>
    <t>11.10~11.14</t>
  </si>
  <si>
    <t>11.17~11.21</t>
  </si>
  <si>
    <t>11.24~11.28</t>
  </si>
  <si>
    <t>12.1~12.5</t>
  </si>
  <si>
    <t>12.8~12.12</t>
  </si>
  <si>
    <t>12.15~12.19</t>
  </si>
  <si>
    <t>12.20~12.26</t>
  </si>
  <si>
    <t>12.29~12.31</t>
  </si>
  <si>
    <t>华夏二期</t>
  </si>
  <si>
    <t>华夏三期</t>
  </si>
  <si>
    <t>潘高祖</t>
  </si>
  <si>
    <t>恒丰需求</t>
  </si>
  <si>
    <t>刘敏</t>
  </si>
  <si>
    <t>华夏二期、三期</t>
  </si>
  <si>
    <t>广汽维保</t>
  </si>
  <si>
    <t>大昌行维保和叮咚租机维保</t>
  </si>
  <si>
    <t>广汽需求</t>
  </si>
  <si>
    <t>广汽需求、广汽三期</t>
  </si>
  <si>
    <t>马晋豪</t>
  </si>
  <si>
    <t>大昌行E签宝升级</t>
  </si>
  <si>
    <t>广汽tbox数据及小微评分</t>
  </si>
  <si>
    <t>广汽续期、维保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</si>
</sst>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aaaa;@"/>
    <numFmt numFmtId="177" formatCode="[$-F800]dddd\,\ mmmm\ dd\,\ yyyy"/>
    <numFmt numFmtId="178" formatCode="0.00_ "/>
    <numFmt numFmtId="179" formatCode="yyyy&quot;年&quot;m&quot;月&quot;d&quot;日&quot;;@"/>
  </numFmts>
  <fonts count="43">
    <font>
      <sz val="12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0"/>
      <name val="微软雅黑"/>
      <charset val="134"/>
    </font>
    <font>
      <b/>
      <sz val="10"/>
      <name val="微软雅黑"/>
      <charset val="134"/>
    </font>
    <font>
      <sz val="10.5"/>
      <color rgb="FF303133"/>
      <name val="Arial"/>
      <charset val="134"/>
    </font>
    <font>
      <sz val="12"/>
      <color theme="1"/>
      <name val="楷体"/>
      <charset val="134"/>
    </font>
    <font>
      <sz val="12"/>
      <color rgb="FFFF0000"/>
      <name val="楷体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2"/>
      <color rgb="FF000000"/>
      <name val="微软雅黑"/>
      <charset val="134"/>
    </font>
    <font>
      <sz val="10"/>
      <color indexed="8"/>
      <name val="微软雅黑"/>
      <charset val="134"/>
    </font>
    <font>
      <b/>
      <sz val="10"/>
      <color theme="0"/>
      <name val="微软雅黑"/>
      <charset val="134"/>
    </font>
    <font>
      <sz val="11"/>
      <color indexed="8"/>
      <name val="微软雅黑"/>
      <charset val="134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u/>
      <sz val="11"/>
      <color theme="10"/>
      <name val="等线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799798577837458"/>
        <bgColor rgb="FFEBF4FC"/>
      </patternFill>
    </fill>
    <fill>
      <patternFill patternType="solid">
        <fgColor theme="4" tint="0.799829096346934"/>
        <bgColor rgb="FFEBF4FC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799890133365886"/>
        <bgColor rgb="FFEBF4FC"/>
      </patternFill>
    </fill>
    <fill>
      <patternFill patternType="solid">
        <fgColor rgb="FFFFFF00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rgb="FFEBF4FC"/>
      </patternFill>
    </fill>
    <fill>
      <patternFill patternType="solid">
        <fgColor theme="4"/>
        <bgColor indexed="64"/>
      </patternFill>
    </fill>
    <fill>
      <patternFill patternType="solid">
        <fgColor theme="4"/>
        <bgColor indexed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8" fillId="15" borderId="8" applyNumberFormat="0" applyAlignment="0" applyProtection="0">
      <alignment vertical="center"/>
    </xf>
    <xf numFmtId="0" fontId="29" fillId="15" borderId="7" applyNumberFormat="0" applyAlignment="0" applyProtection="0">
      <alignment vertical="center"/>
    </xf>
    <xf numFmtId="0" fontId="30" fillId="16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0" fillId="0" borderId="0"/>
    <xf numFmtId="0" fontId="0" fillId="0" borderId="0"/>
    <xf numFmtId="176" fontId="38" fillId="0" borderId="0">
      <alignment vertical="top"/>
    </xf>
    <xf numFmtId="0" fontId="0" fillId="0" borderId="0"/>
    <xf numFmtId="0" fontId="4" fillId="0" borderId="0">
      <alignment vertical="center"/>
    </xf>
    <xf numFmtId="0" fontId="39" fillId="0" borderId="0" applyNumberFormat="0" applyFill="0" applyBorder="0" applyAlignment="0" applyProtection="0"/>
    <xf numFmtId="177" fontId="4" fillId="0" borderId="0"/>
    <xf numFmtId="177" fontId="40" fillId="0" borderId="0">
      <alignment vertical="center"/>
    </xf>
    <xf numFmtId="0" fontId="4" fillId="0" borderId="0"/>
    <xf numFmtId="0" fontId="4" fillId="0" borderId="0">
      <alignment vertical="center"/>
    </xf>
    <xf numFmtId="0" fontId="40" fillId="0" borderId="0">
      <alignment vertical="center"/>
    </xf>
  </cellStyleXfs>
  <cellXfs count="1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2" xfId="0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14" fontId="0" fillId="0" borderId="0" xfId="0" applyNumberFormat="1" applyProtection="1">
      <protection locked="0"/>
    </xf>
    <xf numFmtId="0" fontId="6" fillId="3" borderId="2" xfId="50" applyFont="1" applyFill="1" applyBorder="1" applyAlignment="1" applyProtection="1">
      <alignment horizontal="center" vertical="center"/>
      <protection locked="0"/>
    </xf>
    <xf numFmtId="178" fontId="6" fillId="3" borderId="2" xfId="50" applyNumberFormat="1" applyFont="1" applyFill="1" applyBorder="1" applyAlignment="1" applyProtection="1">
      <alignment horizontal="center" vertical="center"/>
      <protection locked="0"/>
    </xf>
    <xf numFmtId="43" fontId="6" fillId="3" borderId="2" xfId="1" applyFont="1" applyFill="1" applyBorder="1" applyAlignment="1" applyProtection="1">
      <alignment horizontal="center" vertical="center"/>
      <protection locked="0"/>
    </xf>
    <xf numFmtId="43" fontId="6" fillId="3" borderId="2" xfId="1" applyFont="1" applyFill="1" applyBorder="1" applyAlignment="1" applyProtection="1">
      <alignment horizontal="center" vertical="center" wrapText="1"/>
      <protection locked="0"/>
    </xf>
    <xf numFmtId="0" fontId="6" fillId="4" borderId="2" xfId="50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57" fontId="7" fillId="6" borderId="2" xfId="50" applyNumberFormat="1" applyFont="1" applyFill="1" applyBorder="1" applyAlignment="1" applyProtection="1">
      <alignment horizontal="center" vertical="center"/>
      <protection locked="0"/>
    </xf>
    <xf numFmtId="0" fontId="7" fillId="6" borderId="2" xfId="5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</xf>
    <xf numFmtId="178" fontId="0" fillId="7" borderId="2" xfId="0" applyNumberFormat="1" applyFill="1" applyBorder="1" applyAlignment="1" applyProtection="1">
      <alignment horizontal="center" vertical="center"/>
    </xf>
    <xf numFmtId="178" fontId="0" fillId="7" borderId="2" xfId="0" applyNumberFormat="1" applyFill="1" applyBorder="1" applyAlignment="1" applyProtection="1">
      <alignment horizontal="center" vertical="center"/>
      <protection locked="0"/>
    </xf>
    <xf numFmtId="178" fontId="0" fillId="0" borderId="2" xfId="0" applyNumberFormat="1" applyBorder="1" applyAlignment="1" applyProtection="1">
      <alignment horizontal="center" vertical="center"/>
      <protection locked="0"/>
    </xf>
    <xf numFmtId="10" fontId="0" fillId="0" borderId="2" xfId="3" applyNumberFormat="1" applyFont="1" applyBorder="1" applyAlignment="1" applyProtection="1">
      <alignment horizontal="center" vertical="center"/>
      <protection locked="0"/>
    </xf>
    <xf numFmtId="31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179" fontId="0" fillId="0" borderId="2" xfId="0" applyNumberFormat="1" applyFont="1" applyFill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0" fontId="5" fillId="0" borderId="2" xfId="0" applyFont="1" applyBorder="1" applyProtection="1">
      <protection locked="0"/>
    </xf>
    <xf numFmtId="14" fontId="0" fillId="0" borderId="2" xfId="0" applyNumberForma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0" fillId="0" borderId="0" xfId="0" applyBorder="1" applyProtection="1">
      <protection locked="0"/>
    </xf>
    <xf numFmtId="0" fontId="0" fillId="0" borderId="0" xfId="0" applyNumberFormat="1" applyProtection="1">
      <protection locked="0"/>
    </xf>
    <xf numFmtId="0" fontId="9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49" fontId="7" fillId="8" borderId="2" xfId="56" applyNumberFormat="1" applyFont="1" applyFill="1" applyBorder="1" applyAlignment="1">
      <alignment horizontal="center" vertical="center" wrapText="1"/>
    </xf>
    <xf numFmtId="177" fontId="7" fillId="8" borderId="2" xfId="56" applyFont="1" applyFill="1" applyBorder="1" applyAlignment="1">
      <alignment horizontal="center" vertical="center" wrapText="1"/>
    </xf>
    <xf numFmtId="177" fontId="2" fillId="8" borderId="2" xfId="56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14" fontId="11" fillId="0" borderId="2" xfId="0" applyNumberFormat="1" applyFont="1" applyBorder="1" applyAlignment="1">
      <alignment horizontal="left"/>
    </xf>
    <xf numFmtId="0" fontId="12" fillId="0" borderId="2" xfId="0" applyFont="1" applyBorder="1"/>
    <xf numFmtId="0" fontId="11" fillId="0" borderId="2" xfId="0" applyFont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/>
    </xf>
    <xf numFmtId="0" fontId="13" fillId="0" borderId="0" xfId="0" applyFont="1"/>
    <xf numFmtId="0" fontId="14" fillId="0" borderId="0" xfId="0" applyFont="1" applyAlignment="1">
      <alignment horizontal="justify"/>
    </xf>
    <xf numFmtId="0" fontId="12" fillId="0" borderId="0" xfId="0" applyFont="1"/>
    <xf numFmtId="0" fontId="1" fillId="9" borderId="0" xfId="0" applyFont="1" applyFill="1"/>
    <xf numFmtId="0" fontId="15" fillId="0" borderId="0" xfId="0" applyFont="1" applyFill="1" applyAlignment="1">
      <alignment horizontal="center" vertical="center"/>
    </xf>
    <xf numFmtId="179" fontId="15" fillId="0" borderId="0" xfId="0" applyNumberFormat="1" applyFont="1" applyFill="1" applyAlignment="1">
      <alignment horizontal="center" vertical="center"/>
    </xf>
    <xf numFmtId="0" fontId="16" fillId="10" borderId="2" xfId="52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/>
    </xf>
    <xf numFmtId="0" fontId="16" fillId="10" borderId="2" xfId="52" applyFont="1" applyFill="1" applyBorder="1" applyAlignment="1">
      <alignment horizontal="center" vertical="center"/>
    </xf>
    <xf numFmtId="179" fontId="16" fillId="10" borderId="2" xfId="52" applyNumberFormat="1" applyFont="1" applyFill="1" applyBorder="1" applyAlignment="1">
      <alignment horizontal="center" vertical="center" wrapText="1"/>
    </xf>
    <xf numFmtId="0" fontId="6" fillId="10" borderId="2" xfId="52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179" fontId="15" fillId="0" borderId="2" xfId="0" applyNumberFormat="1" applyFont="1" applyFill="1" applyBorder="1" applyAlignment="1">
      <alignment horizontal="center" vertical="center"/>
    </xf>
    <xf numFmtId="179" fontId="6" fillId="9" borderId="2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/>
    <xf numFmtId="0" fontId="15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0" xfId="0" applyFont="1" applyBorder="1" applyAlignment="1">
      <alignment horizontal="center"/>
    </xf>
    <xf numFmtId="179" fontId="15" fillId="0" borderId="0" xfId="0" applyNumberFormat="1" applyFont="1" applyFill="1" applyBorder="1" applyAlignment="1">
      <alignment horizontal="center" vertical="center"/>
    </xf>
    <xf numFmtId="0" fontId="17" fillId="9" borderId="0" xfId="0" applyFont="1" applyFill="1" applyAlignment="1">
      <alignment vertical="center"/>
    </xf>
    <xf numFmtId="0" fontId="17" fillId="0" borderId="0" xfId="0" applyFont="1" applyFill="1" applyAlignment="1">
      <alignment horizontal="center" vertical="center"/>
    </xf>
    <xf numFmtId="179" fontId="17" fillId="0" borderId="0" xfId="0" applyNumberFormat="1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9" fontId="16" fillId="12" borderId="2" xfId="52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center"/>
    </xf>
    <xf numFmtId="0" fontId="15" fillId="9" borderId="2" xfId="0" applyFont="1" applyFill="1" applyBorder="1" applyAlignment="1">
      <alignment vertical="center"/>
    </xf>
    <xf numFmtId="0" fontId="15" fillId="9" borderId="0" xfId="0" applyFont="1" applyFill="1" applyAlignment="1">
      <alignment vertical="center"/>
    </xf>
    <xf numFmtId="0" fontId="15" fillId="9" borderId="2" xfId="0" applyFont="1" applyFill="1" applyBorder="1" applyAlignment="1">
      <alignment vertical="center" wrapText="1"/>
    </xf>
    <xf numFmtId="0" fontId="15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2" xfId="49"/>
    <cellStyle name="常规 4" xfId="50"/>
    <cellStyle name="_x000a_shell=progma" xfId="51"/>
    <cellStyle name="常规 2" xfId="52"/>
    <cellStyle name="常规 3 2" xfId="53"/>
    <cellStyle name="超链接 2" xfId="54"/>
    <cellStyle name="常规 10" xfId="55"/>
    <cellStyle name="常规 2 2" xfId="56"/>
    <cellStyle name="常规 2 3" xfId="57"/>
    <cellStyle name="常规 7" xfId="58"/>
    <cellStyle name="常规 3" xfId="5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599993896298105"/>
  </sheetPr>
  <dimension ref="A1:M12"/>
  <sheetViews>
    <sheetView showGridLines="0" tabSelected="1" topLeftCell="B1" workbookViewId="0">
      <selection activeCell="C14" sqref="C14"/>
    </sheetView>
  </sheetViews>
  <sheetFormatPr defaultColWidth="8.275" defaultRowHeight="17.6"/>
  <cols>
    <col min="1" max="1" width="11.3333333333333" style="109" customWidth="1"/>
    <col min="2" max="2" width="11.8083333333333" style="109" customWidth="1"/>
    <col min="3" max="3" width="34.3666666666667" style="109" customWidth="1"/>
    <col min="4" max="4" width="9.63333333333333" style="109" customWidth="1"/>
    <col min="5" max="5" width="9.45833333333333" style="109" customWidth="1"/>
    <col min="6" max="6" width="25.2583333333333" style="109" customWidth="1"/>
    <col min="7" max="7" width="15.725" style="109" customWidth="1"/>
    <col min="8" max="8" width="12" style="110" customWidth="1"/>
    <col min="9" max="9" width="13.3666666666667" style="110" customWidth="1"/>
    <col min="10" max="10" width="25.875" style="111" customWidth="1"/>
    <col min="11" max="11" width="28.55" style="112" customWidth="1"/>
    <col min="12" max="15983" width="8.275" style="112"/>
    <col min="15984" max="16384" width="8.275" style="87"/>
  </cols>
  <sheetData>
    <row r="1" ht="80" spans="1:13">
      <c r="A1" s="91" t="s">
        <v>0</v>
      </c>
      <c r="B1" s="92" t="s">
        <v>1</v>
      </c>
      <c r="C1" s="113" t="s">
        <v>2</v>
      </c>
      <c r="D1" s="91" t="s">
        <v>3</v>
      </c>
      <c r="E1" s="93" t="s">
        <v>4</v>
      </c>
      <c r="F1" s="91" t="s">
        <v>5</v>
      </c>
      <c r="G1" s="91" t="s">
        <v>6</v>
      </c>
      <c r="H1" s="94" t="s">
        <v>7</v>
      </c>
      <c r="I1" s="94" t="s">
        <v>8</v>
      </c>
      <c r="J1" s="94" t="s">
        <v>9</v>
      </c>
      <c r="K1" s="94" t="s">
        <v>10</v>
      </c>
      <c r="L1" s="114"/>
      <c r="M1" s="114"/>
    </row>
    <row r="2" s="108" customFormat="1" ht="24" customHeight="1" spans="1:13">
      <c r="A2" s="96">
        <v>21506</v>
      </c>
      <c r="B2" s="97" t="s">
        <v>11</v>
      </c>
      <c r="C2" s="97" t="s">
        <v>12</v>
      </c>
      <c r="D2" s="97">
        <v>13</v>
      </c>
      <c r="E2" s="97" t="s">
        <v>6</v>
      </c>
      <c r="F2" s="97" t="s">
        <v>13</v>
      </c>
      <c r="G2" s="97" t="s">
        <v>11</v>
      </c>
      <c r="H2" s="99" t="s">
        <v>14</v>
      </c>
      <c r="I2" s="100" t="s">
        <v>15</v>
      </c>
      <c r="J2" s="97">
        <v>12</v>
      </c>
      <c r="K2" s="115"/>
      <c r="L2" s="116"/>
      <c r="M2" s="116"/>
    </row>
    <row r="3" s="108" customFormat="1" ht="23" customHeight="1" spans="1:13">
      <c r="A3" s="96">
        <v>21506</v>
      </c>
      <c r="B3" s="97" t="s">
        <v>16</v>
      </c>
      <c r="C3" s="97" t="s">
        <v>12</v>
      </c>
      <c r="D3" s="97">
        <v>13</v>
      </c>
      <c r="E3" s="97" t="s">
        <v>17</v>
      </c>
      <c r="F3" s="97" t="s">
        <v>13</v>
      </c>
      <c r="G3" s="97" t="s">
        <v>11</v>
      </c>
      <c r="H3" s="99" t="s">
        <v>14</v>
      </c>
      <c r="I3" s="100" t="s">
        <v>18</v>
      </c>
      <c r="J3" s="97">
        <v>8</v>
      </c>
      <c r="K3" s="117"/>
      <c r="L3" s="116"/>
      <c r="M3" s="116"/>
    </row>
    <row r="4" s="108" customFormat="1" ht="24" customHeight="1" spans="1:13">
      <c r="A4" s="96">
        <v>21506</v>
      </c>
      <c r="B4" s="97" t="s">
        <v>19</v>
      </c>
      <c r="C4" s="97" t="s">
        <v>12</v>
      </c>
      <c r="D4" s="97">
        <v>13</v>
      </c>
      <c r="E4" s="118" t="s">
        <v>17</v>
      </c>
      <c r="F4" s="97" t="s">
        <v>13</v>
      </c>
      <c r="G4" s="97" t="s">
        <v>11</v>
      </c>
      <c r="H4" s="99" t="s">
        <v>14</v>
      </c>
      <c r="I4" s="99" t="s">
        <v>20</v>
      </c>
      <c r="J4" s="97">
        <v>5.5</v>
      </c>
      <c r="K4" s="115"/>
      <c r="L4" s="116"/>
      <c r="M4" s="116"/>
    </row>
    <row r="5" ht="24" customHeight="1" spans="1:13">
      <c r="A5" s="119">
        <v>21506</v>
      </c>
      <c r="B5" s="103" t="s">
        <v>21</v>
      </c>
      <c r="C5" s="97" t="s">
        <v>12</v>
      </c>
      <c r="D5" s="103">
        <v>11</v>
      </c>
      <c r="E5" s="103" t="s">
        <v>22</v>
      </c>
      <c r="F5" s="97" t="s">
        <v>13</v>
      </c>
      <c r="G5" s="97" t="s">
        <v>11</v>
      </c>
      <c r="H5" s="99" t="s">
        <v>23</v>
      </c>
      <c r="I5" s="99" t="s">
        <v>24</v>
      </c>
      <c r="J5" s="120">
        <v>9</v>
      </c>
      <c r="K5" s="121"/>
      <c r="L5" s="114"/>
      <c r="M5" s="114"/>
    </row>
    <row r="6" ht="24" customHeight="1" spans="1:13">
      <c r="A6" s="119"/>
      <c r="B6" s="103" t="s">
        <v>25</v>
      </c>
      <c r="C6" s="97" t="s">
        <v>12</v>
      </c>
      <c r="D6" s="103">
        <v>11</v>
      </c>
      <c r="E6" s="103" t="s">
        <v>22</v>
      </c>
      <c r="F6" s="97" t="s">
        <v>13</v>
      </c>
      <c r="G6" s="97" t="s">
        <v>11</v>
      </c>
      <c r="H6" s="99" t="s">
        <v>23</v>
      </c>
      <c r="I6" s="99" t="s">
        <v>26</v>
      </c>
      <c r="J6" s="120">
        <v>6.5</v>
      </c>
      <c r="K6" s="121"/>
      <c r="L6" s="114"/>
      <c r="M6" s="114"/>
    </row>
    <row r="7" ht="24" customHeight="1" spans="1:13">
      <c r="A7" s="119">
        <v>21506</v>
      </c>
      <c r="B7" s="103" t="s">
        <v>27</v>
      </c>
      <c r="C7" s="97" t="s">
        <v>12</v>
      </c>
      <c r="D7" s="103">
        <v>8</v>
      </c>
      <c r="E7" s="103" t="s">
        <v>28</v>
      </c>
      <c r="F7" s="97" t="s">
        <v>13</v>
      </c>
      <c r="G7" s="97" t="s">
        <v>11</v>
      </c>
      <c r="H7" s="99" t="s">
        <v>14</v>
      </c>
      <c r="I7" s="100" t="s">
        <v>15</v>
      </c>
      <c r="J7" s="120">
        <v>12</v>
      </c>
      <c r="K7" s="121"/>
      <c r="L7" s="114"/>
      <c r="M7" s="114"/>
    </row>
    <row r="8" ht="24" customHeight="1" spans="1:13">
      <c r="A8" s="119">
        <v>21506</v>
      </c>
      <c r="B8" s="103" t="s">
        <v>29</v>
      </c>
      <c r="C8" s="97" t="s">
        <v>12</v>
      </c>
      <c r="D8" s="103">
        <v>9</v>
      </c>
      <c r="E8" s="103" t="s">
        <v>28</v>
      </c>
      <c r="F8" s="97" t="s">
        <v>13</v>
      </c>
      <c r="G8" s="97" t="s">
        <v>11</v>
      </c>
      <c r="H8" s="99" t="s">
        <v>23</v>
      </c>
      <c r="I8" s="99" t="s">
        <v>24</v>
      </c>
      <c r="J8" s="120">
        <v>9</v>
      </c>
      <c r="K8" s="121"/>
      <c r="L8" s="114"/>
      <c r="M8" s="114"/>
    </row>
    <row r="9" ht="24" customHeight="1" spans="1:13">
      <c r="A9" s="119"/>
      <c r="B9" s="103" t="s">
        <v>30</v>
      </c>
      <c r="C9" s="97" t="s">
        <v>12</v>
      </c>
      <c r="D9" s="103">
        <v>9</v>
      </c>
      <c r="E9" s="103" t="s">
        <v>28</v>
      </c>
      <c r="F9" s="97" t="s">
        <v>13</v>
      </c>
      <c r="G9" s="97" t="s">
        <v>11</v>
      </c>
      <c r="H9" s="99" t="s">
        <v>23</v>
      </c>
      <c r="I9" s="99" t="s">
        <v>24</v>
      </c>
      <c r="J9" s="120">
        <v>9</v>
      </c>
      <c r="K9" s="121"/>
      <c r="L9" s="114"/>
      <c r="M9" s="114"/>
    </row>
    <row r="10" ht="30" customHeight="1" spans="1:13">
      <c r="A10" s="119">
        <v>21506</v>
      </c>
      <c r="B10" s="103" t="s">
        <v>31</v>
      </c>
      <c r="C10" s="97" t="s">
        <v>12</v>
      </c>
      <c r="D10" s="103">
        <v>7</v>
      </c>
      <c r="E10" s="103" t="s">
        <v>32</v>
      </c>
      <c r="F10" s="103" t="s">
        <v>13</v>
      </c>
      <c r="G10" s="103" t="s">
        <v>11</v>
      </c>
      <c r="H10" s="99" t="s">
        <v>33</v>
      </c>
      <c r="I10" s="99" t="s">
        <v>34</v>
      </c>
      <c r="J10" s="120">
        <v>4</v>
      </c>
      <c r="K10" s="121"/>
      <c r="L10" s="114"/>
      <c r="M10" s="114"/>
    </row>
    <row r="11" ht="25" customHeight="1" spans="1:13">
      <c r="B11" s="122" t="s">
        <v>35</v>
      </c>
      <c r="C11" s="97" t="s">
        <v>12</v>
      </c>
      <c r="D11" s="103">
        <v>7</v>
      </c>
      <c r="E11" s="103" t="s">
        <v>32</v>
      </c>
      <c r="F11" s="103" t="s">
        <v>13</v>
      </c>
      <c r="G11" s="103" t="s">
        <v>11</v>
      </c>
      <c r="H11" s="99" t="s">
        <v>33</v>
      </c>
      <c r="I11" s="99" t="s">
        <v>34</v>
      </c>
      <c r="J11" s="120">
        <v>4</v>
      </c>
      <c r="K11" s="123"/>
      <c r="L11" s="114"/>
      <c r="M11" s="114"/>
    </row>
    <row r="12" ht="23" customHeight="1" spans="1:13">
      <c r="B12" s="89"/>
      <c r="C12" s="89"/>
      <c r="D12" s="89"/>
      <c r="E12" s="89"/>
      <c r="F12" s="89"/>
      <c r="G12" s="89"/>
      <c r="H12" s="90"/>
      <c r="I12" s="107"/>
      <c r="J12" s="124"/>
      <c r="K12" s="114"/>
      <c r="L12" s="114"/>
      <c r="M12" s="114"/>
    </row>
  </sheetData>
  <sheetProtection formatCells="0" insertHyperlinks="0" autoFilter="0"/>
  <conditionalFormatting sqref="B1">
    <cfRule type="duplicateValues" dxfId="0" priority="48"/>
    <cfRule type="duplicateValues" dxfId="0" priority="49"/>
    <cfRule type="duplicateValues" dxfId="1" priority="52"/>
  </conditionalFormatting>
  <conditionalFormatting sqref="B4">
    <cfRule type="duplicateValues" dxfId="0" priority="1"/>
    <cfRule type="duplicateValues" dxfId="0" priority="2"/>
    <cfRule type="duplicateValues" dxfId="1" priority="3"/>
  </conditionalFormatting>
  <conditionalFormatting sqref="B2:B3">
    <cfRule type="duplicateValues" dxfId="0" priority="19"/>
    <cfRule type="duplicateValues" dxfId="0" priority="20"/>
    <cfRule type="duplicateValues" dxfId="1" priority="2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599993896298105"/>
  </sheetPr>
  <dimension ref="A1:L7"/>
  <sheetViews>
    <sheetView showGridLines="0" workbookViewId="0">
      <selection activeCell="E31" sqref="E31"/>
    </sheetView>
  </sheetViews>
  <sheetFormatPr defaultColWidth="8.275" defaultRowHeight="13.2" outlineLevelRow="6"/>
  <cols>
    <col min="1" max="1" width="24.5416666666667" style="89" customWidth="1"/>
    <col min="2" max="3" width="9.63333333333333" style="89" customWidth="1"/>
    <col min="4" max="4" width="9.45833333333333" style="89" customWidth="1"/>
    <col min="5" max="5" width="26.6333333333333" style="89" customWidth="1"/>
    <col min="6" max="6" width="15.725" style="89" customWidth="1"/>
    <col min="7" max="7" width="12.4583333333333" style="90" customWidth="1"/>
    <col min="8" max="8" width="12" style="90" customWidth="1"/>
    <col min="9" max="9" width="13.3666666666667" style="90" customWidth="1"/>
    <col min="10" max="10" width="8.275" style="22"/>
    <col min="11" max="11" width="37.0583333333333" style="23" customWidth="1"/>
    <col min="12" max="16384" width="8.275" style="23"/>
  </cols>
  <sheetData>
    <row r="1" ht="80" spans="1:12">
      <c r="A1" s="91" t="s">
        <v>0</v>
      </c>
      <c r="B1" s="92" t="s">
        <v>1</v>
      </c>
      <c r="C1" s="91" t="s">
        <v>3</v>
      </c>
      <c r="D1" s="93" t="s">
        <v>4</v>
      </c>
      <c r="E1" s="91" t="s">
        <v>5</v>
      </c>
      <c r="F1" s="91" t="s">
        <v>6</v>
      </c>
      <c r="G1" s="94" t="s">
        <v>7</v>
      </c>
      <c r="H1" s="94" t="s">
        <v>8</v>
      </c>
      <c r="I1" s="94" t="s">
        <v>10</v>
      </c>
      <c r="J1" s="94" t="s">
        <v>36</v>
      </c>
      <c r="K1" s="94" t="s">
        <v>37</v>
      </c>
      <c r="L1" s="95"/>
    </row>
    <row r="2" s="88" customFormat="1" ht="24" customHeight="1" spans="1:12">
      <c r="A2" s="96">
        <v>21506</v>
      </c>
      <c r="B2" s="97" t="s">
        <v>38</v>
      </c>
      <c r="C2" s="97">
        <v>3</v>
      </c>
      <c r="D2" s="97" t="s">
        <v>39</v>
      </c>
      <c r="E2" s="97" t="s">
        <v>40</v>
      </c>
      <c r="F2" s="98" t="s">
        <v>11</v>
      </c>
      <c r="G2" s="99" t="s">
        <v>41</v>
      </c>
      <c r="H2" s="100" t="s">
        <v>42</v>
      </c>
      <c r="I2" s="98" t="s">
        <v>43</v>
      </c>
      <c r="J2" s="101"/>
      <c r="K2" s="102"/>
      <c r="L2" s="102"/>
    </row>
    <row r="3" s="88" customFormat="1" ht="24" hidden="1" customHeight="1" spans="1:12">
      <c r="A3" s="96">
        <v>21506</v>
      </c>
      <c r="B3" s="97" t="s">
        <v>44</v>
      </c>
      <c r="C3" s="97">
        <v>4</v>
      </c>
      <c r="D3" s="97" t="s">
        <v>39</v>
      </c>
      <c r="E3" s="97" t="s">
        <v>45</v>
      </c>
      <c r="F3" s="98" t="s">
        <v>11</v>
      </c>
      <c r="G3" s="99" t="s">
        <v>41</v>
      </c>
      <c r="H3" s="100" t="s">
        <v>46</v>
      </c>
      <c r="I3" s="98" t="s">
        <v>43</v>
      </c>
      <c r="J3" s="101">
        <v>5.25</v>
      </c>
      <c r="K3" s="102" t="s">
        <v>47</v>
      </c>
      <c r="L3" s="102"/>
    </row>
    <row r="4" ht="68" customHeight="1" spans="1:12">
      <c r="A4" s="96">
        <v>21506</v>
      </c>
      <c r="B4" s="103" t="s">
        <v>48</v>
      </c>
      <c r="C4" s="103">
        <v>3</v>
      </c>
      <c r="D4" s="103" t="s">
        <v>39</v>
      </c>
      <c r="E4" s="103" t="s">
        <v>40</v>
      </c>
      <c r="F4" s="98" t="s">
        <v>11</v>
      </c>
      <c r="G4" s="99" t="s">
        <v>49</v>
      </c>
      <c r="H4" s="100" t="s">
        <v>50</v>
      </c>
      <c r="I4" s="98" t="s">
        <v>43</v>
      </c>
      <c r="J4" s="30"/>
      <c r="K4" s="104" t="s">
        <v>51</v>
      </c>
      <c r="L4" s="105"/>
    </row>
    <row r="5" spans="1:12">
      <c r="J5" s="106"/>
    </row>
    <row r="6" spans="1:12">
      <c r="J6" s="106"/>
    </row>
    <row r="7" ht="22" customHeight="1" spans="1:12">
      <c r="I7" s="107"/>
      <c r="J7" s="106"/>
    </row>
  </sheetData>
  <sheetProtection formatCells="0" insertHyperlinks="0" autoFilter="0"/>
  <conditionalFormatting sqref="B1">
    <cfRule type="duplicateValues" dxfId="0" priority="31"/>
    <cfRule type="duplicateValues" dxfId="0" priority="32"/>
    <cfRule type="duplicateValues" dxfId="1" priority="33"/>
  </conditionalFormatting>
  <conditionalFormatting sqref="B2">
    <cfRule type="duplicateValues" dxfId="1" priority="6"/>
    <cfRule type="duplicateValues" dxfId="0" priority="5"/>
    <cfRule type="duplicateValues" dxfId="0" priority="4"/>
  </conditionalFormatting>
  <conditionalFormatting sqref="B3">
    <cfRule type="duplicateValues" dxfId="1" priority="3"/>
    <cfRule type="duplicateValues" dxfId="0" priority="2"/>
    <cfRule type="duplicateValues" dxfId="0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zoomScale="90" zoomScaleNormal="90" workbookViewId="0">
      <selection activeCell="F2" sqref="F2"/>
    </sheetView>
  </sheetViews>
  <sheetFormatPr defaultColWidth="9" defaultRowHeight="20" customHeight="1"/>
  <cols>
    <col min="1" max="1" width="13.225" style="73" customWidth="1"/>
    <col min="2" max="2" width="22.625" style="73" customWidth="1"/>
    <col min="3" max="3" width="24.6333333333333" style="73" customWidth="1"/>
    <col min="4" max="4" width="14.3416666666667" style="73" customWidth="1"/>
    <col min="5" max="5" width="18.5416666666667" style="73" customWidth="1"/>
    <col min="6" max="7" width="11" style="73" customWidth="1"/>
    <col min="8" max="8" width="10.725" style="73"/>
    <col min="9" max="9" width="8.36666666666667" style="73" customWidth="1"/>
    <col min="10" max="10" width="6.81666666666667" style="73" customWidth="1"/>
    <col min="11" max="11" width="8.88333333333333" style="73" customWidth="1"/>
    <col min="12" max="12" width="45.3583333333333" style="74" customWidth="1"/>
    <col min="13" max="13" width="19.7916666666667" style="74" customWidth="1"/>
    <col min="14" max="14" width="15.1416666666667" style="74" customWidth="1"/>
    <col min="15" max="16384" width="9" style="74"/>
  </cols>
  <sheetData>
    <row r="1" s="72" customFormat="1" customHeight="1" spans="1:14">
      <c r="A1" s="75" t="s">
        <v>0</v>
      </c>
      <c r="B1" s="75" t="s">
        <v>52</v>
      </c>
      <c r="C1" s="76" t="s">
        <v>53</v>
      </c>
      <c r="D1" s="76" t="s">
        <v>54</v>
      </c>
      <c r="E1" s="76" t="s">
        <v>55</v>
      </c>
      <c r="F1" s="76" t="s">
        <v>56</v>
      </c>
      <c r="G1" s="76" t="s">
        <v>57</v>
      </c>
      <c r="H1" s="76" t="s">
        <v>58</v>
      </c>
      <c r="I1" s="76" t="s">
        <v>59</v>
      </c>
      <c r="J1" s="76" t="s">
        <v>60</v>
      </c>
      <c r="K1" s="76" t="s">
        <v>61</v>
      </c>
      <c r="L1" s="76" t="s">
        <v>62</v>
      </c>
      <c r="M1" s="77" t="s">
        <v>63</v>
      </c>
      <c r="N1" s="77" t="s">
        <v>64</v>
      </c>
    </row>
    <row r="2" customHeight="1" spans="1:14">
      <c r="A2" s="78">
        <v>21506</v>
      </c>
      <c r="B2" s="79" t="s">
        <v>65</v>
      </c>
      <c r="C2" s="79" t="s">
        <v>66</v>
      </c>
      <c r="D2" s="79" t="s">
        <v>67</v>
      </c>
      <c r="E2" s="80" t="s">
        <v>17</v>
      </c>
      <c r="F2" s="81">
        <v>45740</v>
      </c>
      <c r="G2" s="81">
        <v>45838</v>
      </c>
      <c r="H2" s="81">
        <v>45740</v>
      </c>
      <c r="I2" s="81"/>
      <c r="J2" s="80" t="s">
        <v>68</v>
      </c>
      <c r="K2" s="79" t="s">
        <v>11</v>
      </c>
      <c r="L2" s="79" t="s">
        <v>69</v>
      </c>
      <c r="M2" s="82"/>
      <c r="N2" s="79"/>
    </row>
    <row r="3" customHeight="1" spans="1:14">
      <c r="A3" s="78">
        <v>21506</v>
      </c>
      <c r="B3" s="79" t="s">
        <v>65</v>
      </c>
      <c r="C3" s="79" t="s">
        <v>66</v>
      </c>
      <c r="D3" s="79" t="s">
        <v>67</v>
      </c>
      <c r="E3" s="80" t="s">
        <v>70</v>
      </c>
      <c r="F3" s="81">
        <v>45801</v>
      </c>
      <c r="G3" s="81">
        <v>45825</v>
      </c>
      <c r="H3" s="81"/>
      <c r="I3" s="81"/>
      <c r="J3" s="80" t="s">
        <v>68</v>
      </c>
      <c r="K3" s="79" t="s">
        <v>11</v>
      </c>
      <c r="L3" s="83" t="s">
        <v>71</v>
      </c>
      <c r="M3" s="82"/>
      <c r="N3" s="79"/>
    </row>
    <row r="4" customHeight="1" spans="1:14">
      <c r="A4" s="78">
        <v>21506</v>
      </c>
      <c r="B4" s="79" t="s">
        <v>65</v>
      </c>
      <c r="C4" s="79" t="s">
        <v>66</v>
      </c>
      <c r="D4" s="79" t="s">
        <v>67</v>
      </c>
      <c r="E4" s="80" t="s">
        <v>72</v>
      </c>
      <c r="F4" s="81">
        <v>45740</v>
      </c>
      <c r="G4" s="81">
        <v>45838</v>
      </c>
      <c r="H4" s="81"/>
      <c r="I4" s="81"/>
      <c r="J4" s="80" t="s">
        <v>73</v>
      </c>
      <c r="K4" s="79" t="s">
        <v>11</v>
      </c>
      <c r="L4" s="79"/>
      <c r="M4" s="82"/>
      <c r="N4" s="79"/>
    </row>
    <row r="5" customHeight="1" spans="1:14">
      <c r="A5" s="78">
        <v>21506</v>
      </c>
      <c r="B5" s="79" t="s">
        <v>65</v>
      </c>
      <c r="C5" s="79" t="s">
        <v>66</v>
      </c>
      <c r="D5" s="79" t="s">
        <v>67</v>
      </c>
      <c r="E5" s="80" t="s">
        <v>74</v>
      </c>
      <c r="F5" s="81">
        <v>45839</v>
      </c>
      <c r="G5" s="81">
        <v>45899</v>
      </c>
      <c r="H5" s="81"/>
      <c r="I5" s="81"/>
      <c r="J5" s="80" t="s">
        <v>73</v>
      </c>
      <c r="K5" s="79" t="s">
        <v>11</v>
      </c>
      <c r="L5" s="79" t="s">
        <v>75</v>
      </c>
      <c r="M5" s="82"/>
      <c r="N5" s="79"/>
    </row>
    <row r="6" customHeight="1" spans="1:14">
      <c r="A6" s="78">
        <v>21506</v>
      </c>
      <c r="B6" s="79" t="s">
        <v>65</v>
      </c>
      <c r="C6" s="79" t="s">
        <v>66</v>
      </c>
      <c r="D6" s="79" t="s">
        <v>67</v>
      </c>
      <c r="E6" s="80" t="s">
        <v>76</v>
      </c>
      <c r="F6" s="81">
        <v>45901</v>
      </c>
      <c r="G6" s="81">
        <v>45911</v>
      </c>
      <c r="H6" s="81"/>
      <c r="I6" s="81"/>
      <c r="J6" s="80" t="s">
        <v>73</v>
      </c>
      <c r="K6" s="79" t="s">
        <v>11</v>
      </c>
      <c r="L6" s="84" t="s">
        <v>77</v>
      </c>
      <c r="M6" s="82"/>
      <c r="N6" s="79"/>
    </row>
    <row r="7" customHeight="1" spans="1:14">
      <c r="A7" s="78">
        <v>21506</v>
      </c>
      <c r="B7" s="79" t="s">
        <v>65</v>
      </c>
      <c r="C7" s="79" t="s">
        <v>66</v>
      </c>
      <c r="D7" s="79" t="s">
        <v>67</v>
      </c>
      <c r="E7" s="80" t="s">
        <v>78</v>
      </c>
      <c r="F7" s="81">
        <v>45911</v>
      </c>
      <c r="G7" s="81">
        <v>46002</v>
      </c>
      <c r="H7" s="81"/>
      <c r="I7" s="81"/>
      <c r="J7" s="80" t="s">
        <v>73</v>
      </c>
      <c r="K7" s="79" t="s">
        <v>11</v>
      </c>
      <c r="L7" s="84" t="s">
        <v>79</v>
      </c>
      <c r="M7" s="82"/>
      <c r="N7" s="79"/>
    </row>
    <row r="8" customHeight="1" spans="1:14">
      <c r="A8" s="78">
        <v>21506</v>
      </c>
      <c r="B8" s="79" t="s">
        <v>65</v>
      </c>
      <c r="C8" s="79" t="s">
        <v>66</v>
      </c>
      <c r="D8" s="79" t="s">
        <v>67</v>
      </c>
      <c r="E8" s="80" t="s">
        <v>80</v>
      </c>
      <c r="F8" s="81">
        <v>46002</v>
      </c>
      <c r="G8" s="81">
        <v>46022</v>
      </c>
      <c r="H8" s="81"/>
      <c r="I8" s="81"/>
      <c r="J8" s="80" t="s">
        <v>73</v>
      </c>
      <c r="K8" s="79" t="s">
        <v>11</v>
      </c>
      <c r="L8" s="84" t="s">
        <v>81</v>
      </c>
      <c r="M8" s="82"/>
      <c r="N8" s="79"/>
    </row>
    <row r="9" customHeight="1" spans="1:14">
      <c r="A9" s="85"/>
      <c r="B9" s="85"/>
      <c r="C9" s="85"/>
      <c r="D9" s="85"/>
      <c r="E9" s="85"/>
      <c r="F9" s="85"/>
      <c r="G9" s="86"/>
      <c r="H9" s="85"/>
      <c r="I9" s="85"/>
      <c r="J9" s="85"/>
      <c r="K9" s="85"/>
      <c r="L9" s="87"/>
      <c r="M9" s="87"/>
      <c r="N9" s="87"/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BH9"/>
  <sheetViews>
    <sheetView workbookViewId="0">
      <selection activeCell="E8" sqref="E8"/>
    </sheetView>
  </sheetViews>
  <sheetFormatPr defaultColWidth="8.81666666666667" defaultRowHeight="17.6"/>
  <cols>
    <col min="1" max="1" width="11.1833333333333" style="40" customWidth="1"/>
    <col min="2" max="2" width="31.4583333333333" style="41" customWidth="1"/>
    <col min="3" max="3" width="22.6333333333333" style="41" customWidth="1"/>
    <col min="4" max="4" width="8.63333333333333" style="41" customWidth="1"/>
    <col min="5" max="5" width="12.4583333333333" style="42" customWidth="1"/>
    <col min="6" max="10" width="12.4583333333333" style="43" customWidth="1"/>
    <col min="11" max="11" width="8.81666666666667" style="41" customWidth="1"/>
    <col min="12" max="13" width="9.90833333333333" style="41" customWidth="1"/>
    <col min="14" max="14" width="11.775" style="41" customWidth="1"/>
    <col min="15" max="15" width="14.9083333333333" style="41" customWidth="1"/>
    <col min="16" max="16" width="28.1833333333333" style="41" customWidth="1"/>
    <col min="17" max="18" width="9.90833333333333" style="41" customWidth="1"/>
    <col min="19" max="19" width="14.3666666666667" style="41" customWidth="1"/>
    <col min="20" max="20" width="14.3833333333333" style="41" customWidth="1"/>
    <col min="21" max="21" width="15.4583333333333" style="41" customWidth="1"/>
    <col min="22" max="22" width="15.6916666666667" style="41" customWidth="1"/>
    <col min="23" max="23" width="16.3083333333333" style="41" customWidth="1"/>
    <col min="24" max="24" width="4.36666666666667" style="41" customWidth="1"/>
    <col min="25" max="25" width="9" style="41"/>
    <col min="26" max="27" width="8.81666666666667" style="41"/>
    <col min="28" max="28" width="9" style="41"/>
    <col min="29" max="45" width="8.81666666666667" style="41"/>
    <col min="46" max="47" width="9" style="41"/>
    <col min="48" max="48" width="8.81666666666667" style="41"/>
    <col min="49" max="50" width="9" style="41"/>
    <col min="51" max="51" width="8.81666666666667" style="41"/>
    <col min="52" max="53" width="9" style="41"/>
    <col min="54" max="54" width="8.81666666666667" style="41"/>
    <col min="55" max="56" width="9" style="41"/>
    <col min="57" max="57" width="8.81666666666667" style="41"/>
    <col min="58" max="59" width="9" style="41"/>
    <col min="60" max="16384" width="8.81666666666667" style="41"/>
  </cols>
  <sheetData>
    <row r="1" s="38" customFormat="1" ht="16.8" spans="1:60">
      <c r="A1" s="44" t="s">
        <v>0</v>
      </c>
      <c r="B1" s="44" t="s">
        <v>82</v>
      </c>
      <c r="C1" s="44" t="s">
        <v>83</v>
      </c>
      <c r="D1" s="44" t="s">
        <v>84</v>
      </c>
      <c r="E1" s="45" t="s">
        <v>85</v>
      </c>
      <c r="F1" s="46" t="s">
        <v>86</v>
      </c>
      <c r="G1" s="46" t="s">
        <v>87</v>
      </c>
      <c r="H1" s="46" t="s">
        <v>88</v>
      </c>
      <c r="I1" s="47" t="s">
        <v>89</v>
      </c>
      <c r="J1" s="47" t="s">
        <v>90</v>
      </c>
      <c r="K1" s="44" t="s">
        <v>91</v>
      </c>
      <c r="L1" s="44" t="s">
        <v>92</v>
      </c>
      <c r="M1" s="44" t="s">
        <v>93</v>
      </c>
      <c r="N1" s="44" t="s">
        <v>94</v>
      </c>
      <c r="O1" s="44" t="s">
        <v>95</v>
      </c>
      <c r="P1" s="44" t="s">
        <v>96</v>
      </c>
      <c r="Q1" s="44" t="s">
        <v>6</v>
      </c>
      <c r="R1" s="44" t="s">
        <v>97</v>
      </c>
      <c r="S1" s="44" t="s">
        <v>98</v>
      </c>
      <c r="T1" s="48" t="s">
        <v>99</v>
      </c>
      <c r="U1" s="48" t="s">
        <v>100</v>
      </c>
      <c r="V1" s="48" t="s">
        <v>101</v>
      </c>
      <c r="W1" s="48" t="s">
        <v>102</v>
      </c>
      <c r="X1" s="44" t="s">
        <v>10</v>
      </c>
      <c r="Y1" s="49" t="s">
        <v>103</v>
      </c>
      <c r="Z1" s="49" t="s">
        <v>104</v>
      </c>
      <c r="AA1" s="49" t="s">
        <v>105</v>
      </c>
      <c r="AB1" s="49" t="s">
        <v>103</v>
      </c>
      <c r="AC1" s="49" t="s">
        <v>104</v>
      </c>
      <c r="AD1" s="49" t="s">
        <v>105</v>
      </c>
      <c r="AE1" s="49" t="s">
        <v>103</v>
      </c>
      <c r="AF1" s="49" t="s">
        <v>104</v>
      </c>
      <c r="AG1" s="49" t="s">
        <v>105</v>
      </c>
      <c r="AH1" s="49" t="s">
        <v>103</v>
      </c>
      <c r="AI1" s="49" t="s">
        <v>104</v>
      </c>
      <c r="AJ1" s="49" t="s">
        <v>105</v>
      </c>
      <c r="AK1" s="49" t="s">
        <v>103</v>
      </c>
      <c r="AL1" s="49" t="s">
        <v>104</v>
      </c>
      <c r="AM1" s="49" t="s">
        <v>105</v>
      </c>
      <c r="AN1" s="49" t="s">
        <v>103</v>
      </c>
      <c r="AO1" s="49" t="s">
        <v>104</v>
      </c>
      <c r="AP1" s="49" t="s">
        <v>105</v>
      </c>
      <c r="AQ1" s="49" t="s">
        <v>103</v>
      </c>
      <c r="AR1" s="49" t="s">
        <v>104</v>
      </c>
      <c r="AS1" s="49" t="s">
        <v>105</v>
      </c>
      <c r="AT1" s="49" t="s">
        <v>103</v>
      </c>
      <c r="AU1" s="49" t="s">
        <v>104</v>
      </c>
      <c r="AV1" s="49" t="s">
        <v>105</v>
      </c>
      <c r="AW1" s="49" t="s">
        <v>103</v>
      </c>
      <c r="AX1" s="49" t="s">
        <v>104</v>
      </c>
      <c r="AY1" s="49" t="s">
        <v>105</v>
      </c>
      <c r="AZ1" s="49" t="s">
        <v>103</v>
      </c>
      <c r="BA1" s="49" t="s">
        <v>104</v>
      </c>
      <c r="BB1" s="49" t="s">
        <v>105</v>
      </c>
      <c r="BC1" s="49" t="s">
        <v>103</v>
      </c>
      <c r="BD1" s="49" t="s">
        <v>104</v>
      </c>
      <c r="BE1" s="49" t="s">
        <v>105</v>
      </c>
      <c r="BF1" s="49" t="s">
        <v>103</v>
      </c>
      <c r="BG1" s="49" t="s">
        <v>104</v>
      </c>
      <c r="BH1" s="49" t="s">
        <v>105</v>
      </c>
    </row>
    <row r="2" s="38" customFormat="1" ht="16.8" spans="1:60">
      <c r="A2" s="44"/>
      <c r="B2" s="44"/>
      <c r="C2" s="44"/>
      <c r="D2" s="44"/>
      <c r="E2" s="45"/>
      <c r="F2" s="46"/>
      <c r="G2" s="46"/>
      <c r="H2" s="46"/>
      <c r="I2" s="47"/>
      <c r="J2" s="47"/>
      <c r="K2" s="44"/>
      <c r="L2" s="44"/>
      <c r="M2" s="44"/>
      <c r="N2" s="44"/>
      <c r="O2" s="44"/>
      <c r="P2" s="44"/>
      <c r="Q2" s="44"/>
      <c r="R2" s="44"/>
      <c r="S2" s="44"/>
      <c r="T2" s="48"/>
      <c r="U2" s="48"/>
      <c r="V2" s="48"/>
      <c r="W2" s="48"/>
      <c r="X2" s="44"/>
      <c r="Y2" s="50" t="s">
        <v>106</v>
      </c>
      <c r="Z2" s="50" t="s">
        <v>106</v>
      </c>
      <c r="AA2" s="51" t="s">
        <v>105</v>
      </c>
      <c r="AB2" s="50" t="s">
        <v>107</v>
      </c>
      <c r="AC2" s="51" t="s">
        <v>107</v>
      </c>
      <c r="AD2" s="51" t="s">
        <v>105</v>
      </c>
      <c r="AE2" s="51" t="s">
        <v>108</v>
      </c>
      <c r="AF2" s="51" t="s">
        <v>108</v>
      </c>
      <c r="AG2" s="51" t="s">
        <v>105</v>
      </c>
      <c r="AH2" s="51" t="s">
        <v>109</v>
      </c>
      <c r="AI2" s="51" t="s">
        <v>109</v>
      </c>
      <c r="AJ2" s="51" t="s">
        <v>105</v>
      </c>
      <c r="AK2" s="51" t="s">
        <v>110</v>
      </c>
      <c r="AL2" s="51" t="s">
        <v>110</v>
      </c>
      <c r="AM2" s="51" t="s">
        <v>105</v>
      </c>
      <c r="AN2" s="51" t="s">
        <v>111</v>
      </c>
      <c r="AO2" s="51" t="s">
        <v>111</v>
      </c>
      <c r="AP2" s="51" t="s">
        <v>105</v>
      </c>
      <c r="AQ2" s="51" t="s">
        <v>112</v>
      </c>
      <c r="AR2" s="51" t="s">
        <v>112</v>
      </c>
      <c r="AS2" s="51" t="s">
        <v>105</v>
      </c>
      <c r="AT2" s="51" t="s">
        <v>113</v>
      </c>
      <c r="AU2" s="51" t="s">
        <v>113</v>
      </c>
      <c r="AV2" s="51" t="s">
        <v>105</v>
      </c>
      <c r="AW2" s="51" t="s">
        <v>114</v>
      </c>
      <c r="AX2" s="51" t="s">
        <v>114</v>
      </c>
      <c r="AY2" s="51" t="s">
        <v>105</v>
      </c>
      <c r="AZ2" s="51" t="s">
        <v>115</v>
      </c>
      <c r="BA2" s="51" t="s">
        <v>115</v>
      </c>
      <c r="BB2" s="51" t="s">
        <v>105</v>
      </c>
      <c r="BC2" s="51" t="s">
        <v>116</v>
      </c>
      <c r="BD2" s="51" t="s">
        <v>116</v>
      </c>
      <c r="BE2" s="51" t="s">
        <v>105</v>
      </c>
      <c r="BF2" s="51" t="s">
        <v>117</v>
      </c>
      <c r="BG2" s="51" t="s">
        <v>117</v>
      </c>
      <c r="BH2" s="51" t="s">
        <v>105</v>
      </c>
    </row>
    <row r="3" s="39" customFormat="1" ht="36" spans="1:60">
      <c r="A3" s="52">
        <v>21506</v>
      </c>
      <c r="B3" s="53" t="s">
        <v>65</v>
      </c>
      <c r="C3" s="53" t="s">
        <v>66</v>
      </c>
      <c r="D3" s="54">
        <v>4880000</v>
      </c>
      <c r="E3" s="55">
        <f>(Y3+AB3+AE3+AH3+AK3+AN3+AQ3+AT3+AW3+AZ3+BC3+BF3)+(Z3+AC3+AF3+AI3+AL3+AO3+AR3+AU3+AX3+BA3+BD3+BG3)*0.474285714</f>
        <v>70.36079999362</v>
      </c>
      <c r="F3" s="56">
        <f>(Y3+AB3+AE3+AH3+AK3+AN3+AQ3+AT3+AW3+AZ3+BC3+BF3)*35000+(Z3+AC3+AF3+AI3+AL3+AO3+AR3+AU3+AX3+BA3+BD3+BG3)*16600</f>
        <v>2462628</v>
      </c>
      <c r="G3" s="57"/>
      <c r="H3" s="57">
        <v>123393.1</v>
      </c>
      <c r="I3" s="58">
        <f>D3-F3</f>
        <v>2417372</v>
      </c>
      <c r="J3" s="59">
        <f>(D3/1.06-F3-G3-H3)/(D3/1.06)</f>
        <v>0.43828230204918</v>
      </c>
      <c r="K3" s="52" t="s">
        <v>118</v>
      </c>
      <c r="L3" s="52" t="s">
        <v>119</v>
      </c>
      <c r="M3" s="52"/>
      <c r="N3" s="52" t="s">
        <v>120</v>
      </c>
      <c r="O3" s="60">
        <v>45714</v>
      </c>
      <c r="P3" s="52" t="s">
        <v>121</v>
      </c>
      <c r="Q3" s="61" t="s">
        <v>11</v>
      </c>
      <c r="R3" s="62"/>
      <c r="S3" s="62" t="s">
        <v>122</v>
      </c>
      <c r="T3" s="63">
        <v>45740</v>
      </c>
      <c r="U3" s="63">
        <v>46022</v>
      </c>
      <c r="V3" s="64"/>
      <c r="W3" s="52" t="s">
        <v>68</v>
      </c>
      <c r="X3" s="52"/>
      <c r="Y3" s="52">
        <v>0</v>
      </c>
      <c r="Z3" s="52">
        <v>0</v>
      </c>
      <c r="AA3" s="52">
        <v>0</v>
      </c>
      <c r="AB3" s="52">
        <v>0</v>
      </c>
      <c r="AC3" s="52">
        <v>0</v>
      </c>
      <c r="AD3" s="52">
        <v>0</v>
      </c>
      <c r="AE3" s="52">
        <v>0</v>
      </c>
      <c r="AF3" s="52">
        <v>0</v>
      </c>
      <c r="AG3" s="52">
        <f>AE3+AF3</f>
        <v>0</v>
      </c>
      <c r="AH3" s="52">
        <v>26.22</v>
      </c>
      <c r="AI3" s="52">
        <v>9.83</v>
      </c>
      <c r="AJ3" s="52">
        <f>AH3+AI3</f>
        <v>36.05</v>
      </c>
      <c r="AK3" s="52">
        <v>5</v>
      </c>
      <c r="AL3" s="52">
        <v>1.5</v>
      </c>
      <c r="AM3" s="52">
        <f>AK3+AL3</f>
        <v>6.5</v>
      </c>
      <c r="AN3" s="52">
        <v>4.75</v>
      </c>
      <c r="AO3" s="52">
        <v>1.5</v>
      </c>
      <c r="AP3" s="52">
        <f>AN3+AO3</f>
        <v>6.25</v>
      </c>
      <c r="AQ3" s="52">
        <v>4.75</v>
      </c>
      <c r="AR3" s="52">
        <v>1.5</v>
      </c>
      <c r="AS3" s="52">
        <f>AQ3+AR3</f>
        <v>6.25</v>
      </c>
      <c r="AT3" s="52">
        <v>4.75</v>
      </c>
      <c r="AU3" s="52">
        <v>1.5</v>
      </c>
      <c r="AV3" s="52">
        <f>AT3+AU3</f>
        <v>6.25</v>
      </c>
      <c r="AW3" s="52">
        <v>3.75</v>
      </c>
      <c r="AX3" s="52">
        <v>1.5</v>
      </c>
      <c r="AY3" s="52">
        <f>AW3+AX3</f>
        <v>5.25</v>
      </c>
      <c r="AZ3" s="52">
        <v>2.5</v>
      </c>
      <c r="BA3" s="52">
        <v>1</v>
      </c>
      <c r="BB3" s="52">
        <f>AZ3+BA3</f>
        <v>3.5</v>
      </c>
      <c r="BC3" s="52">
        <v>3.05</v>
      </c>
      <c r="BD3" s="52">
        <v>1</v>
      </c>
      <c r="BE3" s="52">
        <f>BC3+1</f>
        <v>4.05</v>
      </c>
      <c r="BF3" s="52">
        <v>5</v>
      </c>
      <c r="BG3" s="52">
        <v>3</v>
      </c>
      <c r="BH3" s="52">
        <f>BF3+BG3</f>
        <v>8</v>
      </c>
    </row>
    <row r="4" spans="1:60">
      <c r="A4" s="65"/>
      <c r="B4" s="66"/>
      <c r="C4" s="66"/>
      <c r="D4" s="66"/>
      <c r="E4" s="67"/>
      <c r="F4" s="68"/>
      <c r="G4" s="68"/>
      <c r="H4" s="68"/>
      <c r="I4" s="68"/>
      <c r="J4" s="68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</row>
    <row r="5" spans="1:60">
      <c r="A5" s="65"/>
      <c r="B5" s="66"/>
      <c r="C5" s="66"/>
      <c r="D5" s="66"/>
      <c r="E5" s="67"/>
      <c r="F5" s="68"/>
      <c r="G5" s="68"/>
      <c r="H5" s="68"/>
      <c r="I5" s="68"/>
      <c r="J5" s="68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</row>
    <row r="6" spans="1:60">
      <c r="B6" s="69" t="s">
        <v>123</v>
      </c>
      <c r="T6" s="70"/>
      <c r="U6" s="70"/>
      <c r="V6" s="70"/>
      <c r="W6" s="70"/>
    </row>
    <row r="7" spans="1:60">
      <c r="T7" s="70"/>
      <c r="U7" s="70"/>
      <c r="V7" s="70"/>
      <c r="W7" s="70"/>
    </row>
    <row r="8" spans="1:60">
      <c r="T8" s="70"/>
      <c r="U8" s="70"/>
      <c r="V8" s="70"/>
      <c r="W8" s="70"/>
    </row>
    <row r="9" spans="1:60">
      <c r="F9" s="71"/>
      <c r="G9" s="71"/>
      <c r="H9" s="71"/>
      <c r="I9" s="71"/>
      <c r="T9" s="70"/>
      <c r="U9" s="70"/>
      <c r="V9" s="70"/>
      <c r="W9" s="70"/>
    </row>
  </sheetData>
  <sheetProtection password="CC3D" sheet="1" insertHyperlinks="0" autoFilter="0" objects="1"/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zoomScale="70" zoomScaleNormal="70" topLeftCell="B5" workbookViewId="0">
      <selection activeCell="F8" sqref="F8:G8"/>
    </sheetView>
  </sheetViews>
  <sheetFormatPr defaultColWidth="8.725" defaultRowHeight="13.2"/>
  <cols>
    <col min="1" max="1" width="8.725" style="23"/>
    <col min="2" max="2" width="11.3666666666667" style="24" customWidth="1"/>
    <col min="3" max="3" width="13.8166666666667" style="23" customWidth="1"/>
    <col min="4" max="4" width="13.0916666666667" style="23" customWidth="1"/>
    <col min="5" max="5" width="11.0916666666667" style="23" customWidth="1"/>
    <col min="6" max="6" width="32.275" style="23" customWidth="1"/>
    <col min="7" max="7" width="24.8166666666667" style="23" customWidth="1"/>
    <col min="8" max="8" width="56.4583333333333" style="23" customWidth="1"/>
    <col min="9" max="9" width="26.6333333333333" style="23" customWidth="1"/>
    <col min="10" max="16384" width="8.725" style="23"/>
  </cols>
  <sheetData>
    <row r="1" spans="1:9">
      <c r="A1" s="25" t="s">
        <v>124</v>
      </c>
      <c r="B1" s="26"/>
      <c r="C1" s="25"/>
      <c r="D1" s="27"/>
    </row>
    <row r="2" s="21" customFormat="1" ht="24" customHeight="1" spans="1:9">
      <c r="A2" s="28" t="s">
        <v>125</v>
      </c>
      <c r="B2" s="29" t="s">
        <v>36</v>
      </c>
      <c r="C2" s="28" t="s">
        <v>126</v>
      </c>
      <c r="D2" s="28" t="s">
        <v>127</v>
      </c>
      <c r="E2" s="28" t="s">
        <v>128</v>
      </c>
      <c r="F2" s="28" t="s">
        <v>129</v>
      </c>
      <c r="G2" s="28" t="s">
        <v>130</v>
      </c>
      <c r="H2" s="28" t="s">
        <v>131</v>
      </c>
      <c r="I2" s="28" t="s">
        <v>10</v>
      </c>
    </row>
    <row r="3" s="21" customFormat="1" ht="70" customHeight="1" spans="1:9">
      <c r="A3" s="30">
        <v>1</v>
      </c>
      <c r="B3" s="31" t="s">
        <v>132</v>
      </c>
      <c r="C3" s="30">
        <v>1.25</v>
      </c>
      <c r="D3" s="30">
        <v>0.5</v>
      </c>
      <c r="E3" s="30">
        <f t="shared" ref="E3:E12" si="0">C3+D3</f>
        <v>1.75</v>
      </c>
      <c r="F3" s="32" t="s">
        <v>133</v>
      </c>
      <c r="G3" s="30" t="s">
        <v>134</v>
      </c>
      <c r="H3" s="32"/>
      <c r="I3" s="30"/>
    </row>
    <row r="4" s="21" customFormat="1" ht="62" customHeight="1" spans="1:9">
      <c r="A4" s="30">
        <v>2</v>
      </c>
      <c r="B4" s="33" t="s">
        <v>135</v>
      </c>
      <c r="C4" s="30">
        <v>5</v>
      </c>
      <c r="D4" s="30">
        <v>1.5</v>
      </c>
      <c r="E4" s="30">
        <f t="shared" si="0"/>
        <v>6.5</v>
      </c>
      <c r="F4" s="32" t="s">
        <v>136</v>
      </c>
      <c r="G4" s="30" t="s">
        <v>137</v>
      </c>
      <c r="H4" s="32" t="s">
        <v>138</v>
      </c>
      <c r="I4" s="30"/>
    </row>
    <row r="5" s="21" customFormat="1" ht="36" customHeight="1" spans="1:9">
      <c r="A5" s="30">
        <v>3</v>
      </c>
      <c r="B5" s="33" t="s">
        <v>139</v>
      </c>
      <c r="C5" s="30">
        <v>4.75</v>
      </c>
      <c r="D5" s="30">
        <v>1.5</v>
      </c>
      <c r="E5" s="30">
        <f t="shared" si="0"/>
        <v>6.25</v>
      </c>
      <c r="F5" s="32" t="s">
        <v>140</v>
      </c>
      <c r="G5" s="30" t="s">
        <v>137</v>
      </c>
      <c r="H5" s="32" t="s">
        <v>141</v>
      </c>
      <c r="I5" s="30"/>
    </row>
    <row r="6" s="21" customFormat="1" ht="60" customHeight="1" spans="1:9">
      <c r="A6" s="30">
        <v>4</v>
      </c>
      <c r="B6" s="33" t="s">
        <v>142</v>
      </c>
      <c r="C6" s="30">
        <v>4.75</v>
      </c>
      <c r="D6" s="30">
        <v>1.5</v>
      </c>
      <c r="E6" s="30">
        <f t="shared" si="0"/>
        <v>6.25</v>
      </c>
      <c r="F6" s="32" t="s">
        <v>143</v>
      </c>
      <c r="G6" s="30" t="s">
        <v>137</v>
      </c>
      <c r="H6" s="32" t="s">
        <v>144</v>
      </c>
      <c r="I6" s="30"/>
    </row>
    <row r="7" s="21" customFormat="1" ht="61" customHeight="1" spans="1:9">
      <c r="A7" s="30">
        <v>5</v>
      </c>
      <c r="B7" s="33" t="s">
        <v>145</v>
      </c>
      <c r="C7" s="30">
        <v>4.75</v>
      </c>
      <c r="D7" s="30">
        <v>1.5</v>
      </c>
      <c r="E7" s="30">
        <f t="shared" si="0"/>
        <v>6.25</v>
      </c>
      <c r="F7" s="32" t="s">
        <v>143</v>
      </c>
      <c r="G7" s="30" t="s">
        <v>137</v>
      </c>
      <c r="H7" s="32" t="s">
        <v>146</v>
      </c>
      <c r="I7" s="30"/>
    </row>
    <row r="8" s="21" customFormat="1" ht="57" customHeight="1" spans="1:9">
      <c r="A8" s="30">
        <v>6</v>
      </c>
      <c r="B8" s="33" t="s">
        <v>147</v>
      </c>
      <c r="C8" s="30">
        <v>3.75</v>
      </c>
      <c r="D8" s="30">
        <v>1.5</v>
      </c>
      <c r="E8" s="30">
        <f t="shared" si="0"/>
        <v>5.25</v>
      </c>
      <c r="F8" s="32" t="s">
        <v>148</v>
      </c>
      <c r="G8" s="30" t="s">
        <v>137</v>
      </c>
      <c r="H8" s="32" t="s">
        <v>149</v>
      </c>
      <c r="I8" s="30"/>
    </row>
    <row r="9" s="21" customFormat="1" ht="50" customHeight="1" spans="1:9">
      <c r="A9" s="30">
        <v>7</v>
      </c>
      <c r="B9" s="33" t="s">
        <v>150</v>
      </c>
      <c r="C9" s="30">
        <v>2.5</v>
      </c>
      <c r="D9" s="30">
        <v>1</v>
      </c>
      <c r="E9" s="30">
        <f t="shared" si="0"/>
        <v>3.5</v>
      </c>
      <c r="F9" s="32" t="s">
        <v>151</v>
      </c>
      <c r="G9" s="30" t="s">
        <v>152</v>
      </c>
      <c r="H9" s="32" t="s">
        <v>153</v>
      </c>
      <c r="I9" s="30"/>
    </row>
    <row r="10" s="21" customFormat="1" ht="56" customHeight="1" spans="1:9">
      <c r="A10" s="30">
        <v>8</v>
      </c>
      <c r="B10" s="33" t="s">
        <v>154</v>
      </c>
      <c r="C10" s="30">
        <v>3.05</v>
      </c>
      <c r="D10" s="30">
        <v>1</v>
      </c>
      <c r="E10" s="30">
        <f t="shared" si="0"/>
        <v>4.05</v>
      </c>
      <c r="F10" s="32" t="s">
        <v>155</v>
      </c>
      <c r="G10" s="30" t="s">
        <v>152</v>
      </c>
      <c r="H10" s="32" t="s">
        <v>156</v>
      </c>
      <c r="I10" s="30"/>
    </row>
    <row r="11" s="21" customFormat="1" ht="61" customHeight="1" spans="1:9">
      <c r="A11" s="30">
        <v>9</v>
      </c>
      <c r="B11" s="33" t="s">
        <v>157</v>
      </c>
      <c r="C11" s="30">
        <v>3</v>
      </c>
      <c r="D11" s="30">
        <v>1</v>
      </c>
      <c r="E11" s="30">
        <f t="shared" si="0"/>
        <v>4</v>
      </c>
      <c r="F11" s="32" t="s">
        <v>158</v>
      </c>
      <c r="G11" s="30" t="s">
        <v>152</v>
      </c>
      <c r="H11" s="32" t="s">
        <v>159</v>
      </c>
      <c r="I11" s="30"/>
    </row>
    <row r="12" s="21" customFormat="1" ht="100" customHeight="1" spans="1:9">
      <c r="A12" s="30">
        <v>10</v>
      </c>
      <c r="B12" s="34" t="s">
        <v>160</v>
      </c>
      <c r="C12" s="30">
        <v>2</v>
      </c>
      <c r="D12" s="30">
        <v>2</v>
      </c>
      <c r="E12" s="30">
        <f t="shared" si="0"/>
        <v>4</v>
      </c>
      <c r="F12" s="30" t="s">
        <v>161</v>
      </c>
      <c r="G12" s="30" t="s">
        <v>162</v>
      </c>
      <c r="H12" s="32"/>
      <c r="I12" s="30"/>
    </row>
    <row r="13" s="22" customFormat="1" ht="24" customHeight="1" spans="1:9">
      <c r="A13" s="35"/>
      <c r="B13" s="36"/>
      <c r="C13" s="35"/>
      <c r="D13" s="35"/>
      <c r="E13" s="35"/>
      <c r="F13" s="35"/>
      <c r="G13" s="35"/>
      <c r="H13" s="35"/>
      <c r="I13" s="35"/>
    </row>
    <row r="14" s="22" customFormat="1" ht="24" customHeight="1" spans="1:9">
      <c r="A14" s="35" t="s">
        <v>163</v>
      </c>
      <c r="B14" s="36"/>
      <c r="C14" s="35">
        <f>SUM(C3:C12)</f>
        <v>34.8</v>
      </c>
      <c r="D14" s="35">
        <f>SUM(D3:D12)</f>
        <v>13</v>
      </c>
      <c r="E14" s="35">
        <f>SUM(E3:E12)</f>
        <v>47.8</v>
      </c>
      <c r="F14" s="35"/>
      <c r="G14" s="35"/>
      <c r="H14" s="35"/>
      <c r="I14" s="35"/>
    </row>
    <row r="15" s="22" customFormat="1" ht="24" customHeight="1" spans="1:9">
      <c r="B15" s="37"/>
    </row>
    <row r="16" s="22" customFormat="1" ht="24" customHeight="1" spans="1:9">
      <c r="B16" s="37"/>
    </row>
    <row r="17" s="22" customFormat="1" ht="24" customHeight="1" spans="2:2">
      <c r="B17" s="37"/>
    </row>
    <row r="18" s="22" customFormat="1" ht="24" customHeight="1" spans="2:2">
      <c r="B18" s="37"/>
    </row>
    <row r="19" s="22" customFormat="1" ht="24" customHeight="1" spans="2:2">
      <c r="B19" s="37"/>
    </row>
    <row r="20" s="22" customFormat="1" ht="24" customHeight="1" spans="2:2">
      <c r="B20" s="37"/>
    </row>
    <row r="21" s="22" customFormat="1" ht="24" customHeight="1" spans="2:2">
      <c r="B21" s="37"/>
    </row>
    <row r="22" ht="24" customHeight="1"/>
    <row r="23" ht="24" customHeight="1"/>
    <row r="24" ht="24" customHeight="1"/>
    <row r="25" ht="24" customHeigh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"/>
  <sheetViews>
    <sheetView topLeftCell="X7" workbookViewId="0">
      <selection activeCell="AG1" sqref="AG1:AK1"/>
    </sheetView>
  </sheetViews>
  <sheetFormatPr defaultColWidth="8.725" defaultRowHeight="17.6"/>
  <cols>
    <col min="1" max="1" width="10.4583333333333" customWidth="1"/>
    <col min="2" max="2" width="9.275" style="3" customWidth="1"/>
    <col min="3" max="3" width="8.63333333333333" style="3" customWidth="1"/>
    <col min="4" max="6" width="9.275" style="3" customWidth="1"/>
    <col min="7" max="7" width="8.90833333333333" customWidth="1"/>
    <col min="25" max="25" width="10.3666666666667" customWidth="1"/>
    <col min="26" max="27" width="11.4583333333333" customWidth="1"/>
    <col min="28" max="28" width="10.3666666666667" customWidth="1"/>
    <col min="30" max="32" width="11.4583333333333" customWidth="1"/>
    <col min="33" max="33" width="9.275" customWidth="1"/>
    <col min="34" max="34" width="10.3666666666667" customWidth="1"/>
    <col min="35" max="37" width="11.4583333333333" customWidth="1"/>
  </cols>
  <sheetData>
    <row r="1" ht="36" customHeight="1" spans="1:38">
      <c r="A1" s="4" t="s">
        <v>164</v>
      </c>
      <c r="B1" s="5" t="s">
        <v>165</v>
      </c>
      <c r="C1" s="5" t="s">
        <v>166</v>
      </c>
      <c r="D1" s="5" t="s">
        <v>167</v>
      </c>
      <c r="E1" s="5" t="s">
        <v>168</v>
      </c>
      <c r="F1" s="5" t="s">
        <v>169</v>
      </c>
      <c r="G1" s="5" t="s">
        <v>170</v>
      </c>
      <c r="H1" s="5" t="s">
        <v>171</v>
      </c>
      <c r="I1" s="5" t="s">
        <v>172</v>
      </c>
      <c r="J1" s="5" t="s">
        <v>173</v>
      </c>
      <c r="K1" s="5" t="s">
        <v>174</v>
      </c>
      <c r="L1" s="5" t="s">
        <v>175</v>
      </c>
      <c r="M1" s="5" t="s">
        <v>176</v>
      </c>
      <c r="N1" s="5" t="s">
        <v>177</v>
      </c>
      <c r="O1" s="5" t="s">
        <v>178</v>
      </c>
      <c r="P1" s="6" t="s">
        <v>179</v>
      </c>
      <c r="Q1" s="6" t="s">
        <v>180</v>
      </c>
      <c r="R1" s="6" t="s">
        <v>181</v>
      </c>
      <c r="S1" s="6" t="s">
        <v>182</v>
      </c>
      <c r="T1" s="6" t="s">
        <v>183</v>
      </c>
      <c r="U1" s="6" t="s">
        <v>184</v>
      </c>
      <c r="V1" s="6" t="s">
        <v>185</v>
      </c>
      <c r="W1" s="7" t="s">
        <v>186</v>
      </c>
      <c r="X1" s="7" t="s">
        <v>187</v>
      </c>
      <c r="Y1" s="6" t="s">
        <v>188</v>
      </c>
      <c r="Z1" s="6" t="s">
        <v>189</v>
      </c>
      <c r="AA1" s="6" t="s">
        <v>190</v>
      </c>
      <c r="AB1" s="6" t="s">
        <v>191</v>
      </c>
      <c r="AC1" s="8" t="s">
        <v>192</v>
      </c>
      <c r="AD1" s="8" t="s">
        <v>193</v>
      </c>
      <c r="AE1" s="8" t="s">
        <v>194</v>
      </c>
      <c r="AF1" s="8" t="s">
        <v>195</v>
      </c>
      <c r="AG1" s="7" t="s">
        <v>196</v>
      </c>
      <c r="AH1" s="7" t="s">
        <v>197</v>
      </c>
      <c r="AI1" s="7" t="s">
        <v>198</v>
      </c>
      <c r="AJ1" s="7" t="s">
        <v>199</v>
      </c>
      <c r="AK1" s="7" t="s">
        <v>200</v>
      </c>
      <c r="AL1" s="5" t="s">
        <v>160</v>
      </c>
    </row>
    <row r="2" ht="24" customHeight="1" spans="1:38">
      <c r="A2" s="6" t="s">
        <v>11</v>
      </c>
      <c r="B2" s="9" t="s">
        <v>201</v>
      </c>
      <c r="C2" s="9" t="s">
        <v>201</v>
      </c>
      <c r="D2" s="9" t="s">
        <v>201</v>
      </c>
      <c r="E2" s="9" t="s">
        <v>201</v>
      </c>
      <c r="F2" s="9" t="s">
        <v>201</v>
      </c>
      <c r="G2" s="9" t="s">
        <v>201</v>
      </c>
      <c r="H2" s="9" t="s">
        <v>201</v>
      </c>
      <c r="I2" s="9" t="s">
        <v>201</v>
      </c>
      <c r="J2" s="9" t="s">
        <v>201</v>
      </c>
      <c r="K2" s="10" t="s">
        <v>201</v>
      </c>
      <c r="L2" s="10" t="s">
        <v>201</v>
      </c>
      <c r="M2" s="10" t="s">
        <v>201</v>
      </c>
      <c r="N2" s="10" t="s">
        <v>201</v>
      </c>
      <c r="O2" s="10" t="s">
        <v>201</v>
      </c>
      <c r="P2" s="10" t="s">
        <v>201</v>
      </c>
      <c r="Q2" s="10" t="s">
        <v>201</v>
      </c>
      <c r="R2" s="10" t="s">
        <v>201</v>
      </c>
      <c r="S2" s="10" t="s">
        <v>201</v>
      </c>
      <c r="T2" s="10" t="s">
        <v>201</v>
      </c>
      <c r="U2" s="10" t="s">
        <v>201</v>
      </c>
      <c r="V2" s="10" t="s">
        <v>201</v>
      </c>
      <c r="W2" s="10" t="s">
        <v>201</v>
      </c>
      <c r="X2" s="10" t="s">
        <v>201</v>
      </c>
      <c r="Y2" s="10" t="s">
        <v>201</v>
      </c>
      <c r="Z2" s="10" t="s">
        <v>201</v>
      </c>
      <c r="AA2" s="10" t="s">
        <v>201</v>
      </c>
      <c r="AB2" s="10" t="s">
        <v>202</v>
      </c>
      <c r="AC2" s="10" t="s">
        <v>201</v>
      </c>
      <c r="AD2" s="10" t="s">
        <v>201</v>
      </c>
      <c r="AE2" s="10" t="s">
        <v>201</v>
      </c>
      <c r="AF2" s="11" t="s">
        <v>202</v>
      </c>
      <c r="AG2" s="10" t="s">
        <v>201</v>
      </c>
      <c r="AH2" s="10" t="s">
        <v>201</v>
      </c>
      <c r="AI2" s="10" t="s">
        <v>201</v>
      </c>
      <c r="AJ2" s="10" t="s">
        <v>201</v>
      </c>
      <c r="AK2" s="10" t="s">
        <v>202</v>
      </c>
      <c r="AL2" s="12" t="s">
        <v>201</v>
      </c>
    </row>
    <row r="3" ht="24" customHeight="1" spans="1:38">
      <c r="A3" s="6" t="s">
        <v>203</v>
      </c>
      <c r="B3" s="9" t="s">
        <v>201</v>
      </c>
      <c r="C3" s="9" t="s">
        <v>201</v>
      </c>
      <c r="D3" s="9" t="s">
        <v>201</v>
      </c>
      <c r="E3" s="9" t="s">
        <v>201</v>
      </c>
      <c r="F3" s="9" t="s">
        <v>201</v>
      </c>
      <c r="G3" s="9" t="s">
        <v>201</v>
      </c>
      <c r="H3" s="9" t="s">
        <v>201</v>
      </c>
      <c r="I3" s="13" t="s">
        <v>204</v>
      </c>
      <c r="J3" s="13" t="s">
        <v>204</v>
      </c>
      <c r="K3" s="10" t="s">
        <v>201</v>
      </c>
      <c r="L3" s="10" t="s">
        <v>201</v>
      </c>
      <c r="M3" s="10" t="s">
        <v>201</v>
      </c>
      <c r="N3" s="13" t="s">
        <v>204</v>
      </c>
      <c r="O3" s="13" t="s">
        <v>204</v>
      </c>
      <c r="P3" s="10" t="s">
        <v>201</v>
      </c>
      <c r="Q3" s="10" t="s">
        <v>201</v>
      </c>
      <c r="R3" s="13" t="s">
        <v>204</v>
      </c>
      <c r="S3" s="13" t="s">
        <v>204</v>
      </c>
      <c r="T3" s="10" t="s">
        <v>201</v>
      </c>
      <c r="U3" s="10" t="s">
        <v>201</v>
      </c>
      <c r="V3" s="10" t="s">
        <v>201</v>
      </c>
      <c r="W3" s="13" t="s">
        <v>204</v>
      </c>
      <c r="X3" s="13" t="s">
        <v>204</v>
      </c>
      <c r="Y3" s="13"/>
      <c r="Z3" s="13"/>
      <c r="AA3" s="13"/>
      <c r="AB3" s="13"/>
      <c r="AC3" s="13"/>
      <c r="AD3" s="13"/>
      <c r="AE3" s="13"/>
      <c r="AF3" s="14"/>
      <c r="AG3" s="13"/>
      <c r="AH3" s="13"/>
      <c r="AI3" s="13"/>
      <c r="AJ3" s="13"/>
      <c r="AK3" s="13"/>
      <c r="AL3" s="5"/>
    </row>
    <row r="4" ht="48" customHeight="1" spans="1:38">
      <c r="A4" s="6" t="s">
        <v>205</v>
      </c>
      <c r="B4" s="5"/>
      <c r="C4" s="5"/>
      <c r="D4" s="5"/>
      <c r="E4" s="5" t="s">
        <v>201</v>
      </c>
      <c r="F4" s="5" t="s">
        <v>201</v>
      </c>
      <c r="G4" s="5" t="s">
        <v>201</v>
      </c>
      <c r="H4" s="5" t="s">
        <v>201</v>
      </c>
      <c r="I4" s="5" t="s">
        <v>201</v>
      </c>
      <c r="J4" s="5" t="s">
        <v>201</v>
      </c>
      <c r="K4" s="5" t="s">
        <v>201</v>
      </c>
      <c r="L4" s="5" t="s">
        <v>201</v>
      </c>
      <c r="M4" s="5" t="s">
        <v>201</v>
      </c>
      <c r="N4" s="5" t="s">
        <v>201</v>
      </c>
      <c r="O4" s="5" t="s">
        <v>201</v>
      </c>
      <c r="P4" s="15" t="s">
        <v>206</v>
      </c>
      <c r="Q4" s="15" t="s">
        <v>206</v>
      </c>
      <c r="R4" s="15" t="s">
        <v>206</v>
      </c>
      <c r="S4" s="15" t="s">
        <v>206</v>
      </c>
      <c r="T4" s="15" t="s">
        <v>206</v>
      </c>
      <c r="U4" s="15" t="s">
        <v>206</v>
      </c>
      <c r="V4" s="15" t="s">
        <v>206</v>
      </c>
      <c r="W4" s="15" t="s">
        <v>206</v>
      </c>
      <c r="X4" s="15" t="s">
        <v>206</v>
      </c>
      <c r="Y4" s="6" t="s">
        <v>201</v>
      </c>
      <c r="Z4" s="6" t="s">
        <v>201</v>
      </c>
      <c r="AA4" s="6" t="s">
        <v>202</v>
      </c>
      <c r="AB4" s="6" t="s">
        <v>202</v>
      </c>
      <c r="AC4" s="6" t="s">
        <v>201</v>
      </c>
      <c r="AD4" s="6" t="s">
        <v>202</v>
      </c>
      <c r="AE4" s="6" t="s">
        <v>202</v>
      </c>
      <c r="AF4" s="6" t="s">
        <v>202</v>
      </c>
      <c r="AG4" s="6" t="s">
        <v>202</v>
      </c>
      <c r="AH4" s="6" t="s">
        <v>202</v>
      </c>
      <c r="AI4" s="6" t="s">
        <v>202</v>
      </c>
      <c r="AJ4" s="6" t="s">
        <v>202</v>
      </c>
      <c r="AK4" s="6" t="s">
        <v>202</v>
      </c>
      <c r="AL4" s="5"/>
    </row>
    <row r="5" s="1" customFormat="1" ht="48" customHeight="1" spans="1:38">
      <c r="A5" s="6" t="s">
        <v>27</v>
      </c>
      <c r="B5" s="5" t="s">
        <v>201</v>
      </c>
      <c r="C5" s="5" t="s">
        <v>201</v>
      </c>
      <c r="D5" s="5" t="s">
        <v>201</v>
      </c>
      <c r="E5" s="5" t="s">
        <v>201</v>
      </c>
      <c r="F5" s="5" t="s">
        <v>207</v>
      </c>
      <c r="G5" s="5" t="s">
        <v>201</v>
      </c>
      <c r="H5" s="5" t="s">
        <v>201</v>
      </c>
      <c r="I5" s="5" t="s">
        <v>201</v>
      </c>
      <c r="J5" s="16" t="s">
        <v>208</v>
      </c>
      <c r="K5" s="5" t="s">
        <v>201</v>
      </c>
      <c r="L5" s="5" t="s">
        <v>201</v>
      </c>
      <c r="M5" s="5" t="s">
        <v>201</v>
      </c>
      <c r="N5" s="5" t="s">
        <v>201</v>
      </c>
      <c r="O5" s="5" t="s">
        <v>207</v>
      </c>
      <c r="P5" s="12" t="s">
        <v>201</v>
      </c>
      <c r="Q5" s="12" t="s">
        <v>201</v>
      </c>
      <c r="R5" s="12" t="s">
        <v>201</v>
      </c>
      <c r="S5" s="6" t="s">
        <v>209</v>
      </c>
      <c r="T5" s="12" t="s">
        <v>201</v>
      </c>
      <c r="U5" s="12" t="s">
        <v>201</v>
      </c>
      <c r="V5" s="12" t="s">
        <v>201</v>
      </c>
      <c r="W5" s="12" t="s">
        <v>201</v>
      </c>
      <c r="X5" s="6" t="s">
        <v>209</v>
      </c>
      <c r="Y5" s="12" t="s">
        <v>201</v>
      </c>
      <c r="Z5" s="12" t="s">
        <v>201</v>
      </c>
      <c r="AA5" s="12" t="s">
        <v>201</v>
      </c>
      <c r="AB5" s="17" t="s">
        <v>210</v>
      </c>
      <c r="AC5" s="12" t="s">
        <v>201</v>
      </c>
      <c r="AD5" s="12" t="s">
        <v>201</v>
      </c>
      <c r="AE5" s="12" t="s">
        <v>201</v>
      </c>
      <c r="AF5" s="17" t="s">
        <v>210</v>
      </c>
      <c r="AG5" s="12" t="s">
        <v>201</v>
      </c>
      <c r="AH5" s="12" t="s">
        <v>201</v>
      </c>
      <c r="AI5" s="12" t="s">
        <v>201</v>
      </c>
      <c r="AJ5" s="12" t="s">
        <v>201</v>
      </c>
      <c r="AK5" s="17" t="s">
        <v>210</v>
      </c>
      <c r="AL5" s="12" t="s">
        <v>201</v>
      </c>
    </row>
    <row r="6" ht="48" customHeight="1" spans="1:38">
      <c r="A6" s="6" t="s">
        <v>29</v>
      </c>
      <c r="B6" s="5" t="s">
        <v>201</v>
      </c>
      <c r="C6" s="5" t="s">
        <v>201</v>
      </c>
      <c r="D6" s="5" t="s">
        <v>201</v>
      </c>
      <c r="E6" s="5" t="s">
        <v>201</v>
      </c>
      <c r="F6" s="5" t="s">
        <v>201</v>
      </c>
      <c r="G6" s="5" t="s">
        <v>201</v>
      </c>
      <c r="H6" s="5" t="s">
        <v>201</v>
      </c>
      <c r="I6" s="6" t="s">
        <v>204</v>
      </c>
      <c r="J6" s="6" t="s">
        <v>204</v>
      </c>
      <c r="K6" s="5" t="s">
        <v>201</v>
      </c>
      <c r="L6" s="5" t="s">
        <v>201</v>
      </c>
      <c r="M6" s="5" t="s">
        <v>201</v>
      </c>
      <c r="N6" s="6" t="s">
        <v>204</v>
      </c>
      <c r="O6" s="6" t="s">
        <v>204</v>
      </c>
      <c r="P6" s="5" t="s">
        <v>201</v>
      </c>
      <c r="Q6" s="5" t="s">
        <v>201</v>
      </c>
      <c r="R6" s="6" t="s">
        <v>204</v>
      </c>
      <c r="S6" s="6" t="s">
        <v>204</v>
      </c>
      <c r="T6" s="5" t="s">
        <v>201</v>
      </c>
      <c r="U6" s="5" t="s">
        <v>201</v>
      </c>
      <c r="V6" s="5" t="s">
        <v>201</v>
      </c>
      <c r="W6" s="6" t="s">
        <v>204</v>
      </c>
      <c r="X6" s="6" t="s">
        <v>204</v>
      </c>
      <c r="Y6" s="12" t="s">
        <v>201</v>
      </c>
      <c r="Z6" s="12" t="s">
        <v>201</v>
      </c>
      <c r="AA6" s="17" t="s">
        <v>210</v>
      </c>
      <c r="AB6" s="17" t="s">
        <v>210</v>
      </c>
      <c r="AC6" s="15" t="s">
        <v>206</v>
      </c>
      <c r="AD6" s="15" t="s">
        <v>206</v>
      </c>
      <c r="AE6" s="15" t="s">
        <v>206</v>
      </c>
      <c r="AF6" s="15" t="s">
        <v>206</v>
      </c>
      <c r="AG6" s="15" t="s">
        <v>206</v>
      </c>
      <c r="AH6" s="15" t="s">
        <v>206</v>
      </c>
      <c r="AI6" s="15" t="s">
        <v>206</v>
      </c>
      <c r="AJ6" s="15" t="s">
        <v>206</v>
      </c>
      <c r="AK6" s="15" t="s">
        <v>206</v>
      </c>
      <c r="AL6" s="5"/>
    </row>
    <row r="7" ht="24" customHeight="1" spans="1:38">
      <c r="A7" s="6" t="s">
        <v>211</v>
      </c>
      <c r="B7" s="5"/>
      <c r="C7" s="5" t="s">
        <v>201</v>
      </c>
      <c r="D7" s="5" t="s">
        <v>201</v>
      </c>
      <c r="E7" s="5" t="s">
        <v>201</v>
      </c>
      <c r="F7" s="5" t="s">
        <v>201</v>
      </c>
      <c r="G7" s="5" t="s">
        <v>201</v>
      </c>
      <c r="H7" s="5" t="s">
        <v>201</v>
      </c>
      <c r="I7" s="5" t="s">
        <v>201</v>
      </c>
      <c r="J7" s="5" t="s">
        <v>201</v>
      </c>
      <c r="K7" s="5" t="s">
        <v>201</v>
      </c>
      <c r="L7" s="5" t="s">
        <v>201</v>
      </c>
      <c r="M7" s="5" t="s">
        <v>201</v>
      </c>
      <c r="N7" s="5" t="s">
        <v>201</v>
      </c>
      <c r="O7" s="5" t="s">
        <v>201</v>
      </c>
      <c r="P7" s="5" t="s">
        <v>201</v>
      </c>
      <c r="Q7" s="5" t="s">
        <v>201</v>
      </c>
      <c r="R7" s="5" t="s">
        <v>201</v>
      </c>
      <c r="S7" s="5" t="s">
        <v>201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4"/>
      <c r="AG7" s="13"/>
      <c r="AH7" s="13"/>
      <c r="AI7" s="13"/>
      <c r="AJ7" s="13"/>
      <c r="AK7" s="13"/>
      <c r="AL7" s="5"/>
    </row>
    <row r="8" ht="24" customHeight="1" spans="1:38">
      <c r="A8" s="6" t="s">
        <v>38</v>
      </c>
      <c r="B8" s="5" t="s">
        <v>201</v>
      </c>
      <c r="C8" s="5" t="s">
        <v>201</v>
      </c>
      <c r="D8" s="5" t="s">
        <v>201</v>
      </c>
      <c r="E8" s="5" t="s">
        <v>201</v>
      </c>
      <c r="F8" s="5" t="s">
        <v>201</v>
      </c>
      <c r="G8" s="5" t="s">
        <v>201</v>
      </c>
      <c r="H8" s="5" t="s">
        <v>201</v>
      </c>
      <c r="I8" s="5" t="s">
        <v>201</v>
      </c>
      <c r="J8" s="5" t="s">
        <v>201</v>
      </c>
      <c r="K8" s="5" t="s">
        <v>201</v>
      </c>
      <c r="L8" s="5" t="s">
        <v>201</v>
      </c>
      <c r="M8" s="5" t="s">
        <v>201</v>
      </c>
      <c r="N8" s="5" t="s">
        <v>201</v>
      </c>
      <c r="O8" s="5" t="s">
        <v>201</v>
      </c>
      <c r="P8" s="5" t="s">
        <v>201</v>
      </c>
      <c r="Q8" s="5" t="s">
        <v>201</v>
      </c>
      <c r="R8" s="5" t="s">
        <v>201</v>
      </c>
      <c r="S8" s="5" t="s">
        <v>201</v>
      </c>
      <c r="T8" s="5" t="s">
        <v>201</v>
      </c>
      <c r="U8" s="5" t="s">
        <v>201</v>
      </c>
      <c r="V8" s="5" t="s">
        <v>201</v>
      </c>
      <c r="W8" s="5" t="s">
        <v>201</v>
      </c>
      <c r="X8" s="5" t="s">
        <v>201</v>
      </c>
      <c r="Y8" s="5" t="s">
        <v>201</v>
      </c>
      <c r="Z8" s="5" t="s">
        <v>201</v>
      </c>
      <c r="AA8" s="5" t="s">
        <v>201</v>
      </c>
      <c r="AB8" s="5" t="s">
        <v>201</v>
      </c>
      <c r="AC8" s="5" t="s">
        <v>201</v>
      </c>
      <c r="AD8" s="5" t="s">
        <v>201</v>
      </c>
      <c r="AE8" s="5" t="s">
        <v>201</v>
      </c>
      <c r="AF8" s="5" t="s">
        <v>201</v>
      </c>
      <c r="AG8" s="5" t="s">
        <v>201</v>
      </c>
      <c r="AH8" s="5" t="s">
        <v>201</v>
      </c>
      <c r="AI8" s="5" t="s">
        <v>201</v>
      </c>
      <c r="AJ8" s="5" t="s">
        <v>201</v>
      </c>
      <c r="AK8" s="5" t="s">
        <v>201</v>
      </c>
      <c r="AL8" s="12" t="s">
        <v>201</v>
      </c>
    </row>
    <row r="9" s="2" customFormat="1" ht="48" customHeight="1" spans="1:38">
      <c r="A9" s="18" t="s">
        <v>48</v>
      </c>
      <c r="B9" s="18"/>
      <c r="C9" s="18" t="s">
        <v>201</v>
      </c>
      <c r="D9" s="18" t="s">
        <v>201</v>
      </c>
      <c r="E9" s="19" t="s">
        <v>212</v>
      </c>
      <c r="F9" s="19" t="s">
        <v>213</v>
      </c>
      <c r="G9" s="18" t="s">
        <v>201</v>
      </c>
      <c r="H9" s="18" t="s">
        <v>201</v>
      </c>
      <c r="I9" s="18" t="s">
        <v>204</v>
      </c>
      <c r="J9" s="18" t="s">
        <v>204</v>
      </c>
      <c r="K9" s="18" t="s">
        <v>201</v>
      </c>
      <c r="L9" s="18" t="s">
        <v>201</v>
      </c>
      <c r="M9" s="18" t="s">
        <v>201</v>
      </c>
      <c r="N9" s="18" t="s">
        <v>204</v>
      </c>
      <c r="O9" s="19" t="s">
        <v>213</v>
      </c>
      <c r="P9" s="18" t="s">
        <v>201</v>
      </c>
      <c r="Q9" s="18" t="s">
        <v>201</v>
      </c>
      <c r="R9" s="18" t="s">
        <v>204</v>
      </c>
      <c r="S9" s="19" t="s">
        <v>213</v>
      </c>
      <c r="T9" s="18" t="s">
        <v>201</v>
      </c>
      <c r="U9" s="18" t="s">
        <v>201</v>
      </c>
      <c r="V9" s="18" t="s">
        <v>201</v>
      </c>
      <c r="W9" s="19" t="s">
        <v>214</v>
      </c>
      <c r="X9" s="19" t="s">
        <v>214</v>
      </c>
      <c r="Y9" s="18"/>
      <c r="Z9" s="18"/>
      <c r="AA9" s="18"/>
      <c r="AB9" s="18"/>
      <c r="AC9" s="18"/>
      <c r="AD9" s="18"/>
      <c r="AE9" s="18"/>
      <c r="AF9" s="20"/>
      <c r="AG9" s="18"/>
      <c r="AH9" s="18"/>
      <c r="AI9" s="18"/>
      <c r="AJ9" s="18"/>
      <c r="AK9" s="18"/>
      <c r="AL9" s="18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8" master="" otherUserPermission="visible"/>
</allowEditUser>
</file>

<file path=customXml/item2.xml>��
</file>

<file path=customXml/item3.xml>��YS�NXTbc�{b�	g�NXT�v;`�Ng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百融-资源情况</vt:lpstr>
      <vt:lpstr>外包-资源情况 </vt:lpstr>
      <vt:lpstr>项目里程碑计划</vt:lpstr>
      <vt:lpstr>项目维度</vt:lpstr>
      <vt:lpstr>人员分布计划</vt:lpstr>
      <vt:lpstr>人员周排布计划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李志飞</dc:creator>
  <cp:lastModifiedBy>Bryant</cp:lastModifiedBy>
  <dcterms:created xsi:type="dcterms:W3CDTF">2021-01-07T12:41:00Z</dcterms:created>
  <dcterms:modified xsi:type="dcterms:W3CDTF">2025-12-29T01:01:53Z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38A706A12A55420E8EDDECD0284FABCD_13</vt:lpwstr>
  </property>
  <property fmtid="{D5CDD505-2E9C-101B-9397-08002B2CF9AE}" pid="4" name="CalculationRule">
    <vt:i4>0</vt:i4>
  </property>
</Properties>
</file>